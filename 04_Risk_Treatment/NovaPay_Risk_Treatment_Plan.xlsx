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e5a07fb45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atment Plan" sheetId="1" r:id="Rcb55daa830a84e18"/>
    <x:sheet xmlns:r="http://schemas.openxmlformats.org/officeDocument/2006/relationships" name="Summary" sheetId="2" r:id="Rb225af13a7bb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20386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15ebdb5d04eb1" /><Relationship Type="http://schemas.openxmlformats.org/officeDocument/2006/relationships/theme" Target="/xl/theme/theme1.xml" Id="Ra92666ddd2bf427b" /><Relationship Type="http://schemas.openxmlformats.org/officeDocument/2006/relationships/sharedStrings" Target="/xl/sharedStrings.xml" Id="R21ca9da9c84f4cde" /><Relationship Type="http://schemas.openxmlformats.org/officeDocument/2006/relationships/worksheet" Target="/xl/worksheets/sheet1.xml" Id="Rcb55daa830a84e18" /><Relationship Type="http://schemas.openxmlformats.org/officeDocument/2006/relationships/worksheet" Target="/xl/worksheets/sheet2.xml" Id="Rb225af13a7bb48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2" hidden="0" customWidth="1"/>
    <x:col min="3" max="3" width="18" hidden="0" customWidth="1"/>
    <x:col min="4" max="4" width="54" hidden="0" customWidth="1"/>
    <x:col min="5" max="5" width="28" hidden="0" customWidth="1"/>
    <x:col min="6" max="6" width="14" hidden="0" customWidth="1"/>
    <x:col min="7" max="7" width="16" hidden="0" customWidth="1"/>
    <x:col min="8" max="8" width="12" hidden="0" customWidth="1"/>
    <x:col min="9" max="9" width="12" hidden="0" customWidth="1"/>
    <x:col min="10" max="10" width="14" hidden="0" customWidth="1"/>
    <x:col min="11" max="11" width="40" hidden="0" customWidth="1"/>
    <x:col min="12" max="12" width="14" hidden="0" customWidth="1"/>
    <x:col min="13" max="13" width="16" hidden="0" customWidth="1"/>
  </x:cols>
  <x:sheetData>
    <x:row r="1" ht="32" customHeight="1">
      <x:c r="A1" s="18" t="str">
        <x:v>Risk ID</x:v>
      </x:c>
      <x:c r="B1" s="19" t="str">
        <x:v>Risk Statement</x:v>
      </x:c>
      <x:c r="C1" s="19" t="str">
        <x:v>Treatment Option</x:v>
      </x:c>
      <x:c r="D1" s="19" t="str">
        <x:v>Planned Action</x:v>
      </x:c>
      <x:c r="E1" s="19" t="str">
        <x:v>Proposed Owner</x:v>
      </x:c>
      <x:c r="F1" s="19" t="str">
        <x:v>Priority</x:v>
      </x:c>
      <x:c r="G1" s="19" t="str">
        <x:v>Target Timeline</x:v>
      </x:c>
      <x:c r="H1" s="19" t="str">
        <x:v>Target Likelihood</x:v>
      </x:c>
      <x:c r="I1" s="19" t="str">
        <x:v>Target Impact</x:v>
      </x:c>
      <x:c r="J1" s="19" t="str">
        <x:v>Status</x:v>
      </x:c>
      <x:c r="K1" s="19" t="str">
        <x:v>Validation / Acceptance Note</x:v>
      </x:c>
      <x:c r="L1" s="19" t="str">
        <x:v>Target Residual Score</x:v>
      </x:c>
      <x:c r="M1" s="20" t="str">
        <x:v>Target Residual Rating</x:v>
      </x:c>
    </x:row>
    <x:row r="2">
      <x:c r="A2" s="21" t="str">
        <x:v>R01</x:v>
      </x:c>
      <x:c r="B2" s="22" t="str">
        <x:v>Weak or inconsistently governed access could allow unauthorized access to customer or transaction information, causing confidentiality breach, fraud exposure and loss of trust.</x:v>
      </x:c>
      <x:c r="C2" s="22" t="str">
        <x:v>Mitigate</x:v>
      </x:c>
      <x:c r="D2" s="22" t="str">
        <x:v>Implement role-based access, identity lifecycle controls, secure authentication/MFA, periodic access reviews and security logging.</x:v>
      </x:c>
      <x:c r="E2" s="22" t="str">
        <x:v>IT/Security + Business Owners</x:v>
      </x:c>
      <x:c r="F2" s="22" t="str">
        <x:v>Critical</x:v>
      </x:c>
      <x:c r="G2" s="22" t="str">
        <x:v>Months 2-4</x:v>
      </x:c>
      <x:c r="H2" s="22" t="n">
        <x:v>2</x:v>
      </x:c>
      <x:c r="I2" s="22" t="n">
        <x:v>5</x:v>
      </x:c>
      <x:c r="J2" s="22" t="str">
        <x:v>Open</x:v>
      </x:c>
      <x:c r="K2" s="22" t="str">
        <x:v>Pending validation after implementation and control testing.</x:v>
      </x:c>
      <x:c r="L2" s="22" t="n">
        <x:f>H2*I2</x:f>
        <x:v>10</x:v>
      </x:c>
      <x:c r="M2" s="23" t="str">
        <x:f>IF(L2&lt;=4,"Low",IF(L2&lt;=9,"Moderate",IF(L2&lt;=14,"High","Critical")))</x:f>
        <x:v>High</x:v>
      </x:c>
    </x:row>
    <x:row r="3">
      <x:c r="A3" s="21" t="str">
        <x:v>R02</x:v>
      </x:c>
      <x:c r="B3" s="22" t="str">
        <x:v>Irregular security awareness may enable phishing or social engineering, resulting in credential compromise and unauthorized system access.</x:v>
      </x:c>
      <x:c r="C3" s="22" t="str">
        <x:v>Mitigate</x:v>
      </x:c>
      <x:c r="D3" s="22" t="str">
        <x:v>Formalize awareness training, phishing education, event reporting and strong authentication.</x:v>
      </x:c>
      <x:c r="E3" s="22" t="str">
        <x:v>GRC/HR + IT</x:v>
      </x:c>
      <x:c r="F3" s="22" t="str">
        <x:v>Critical</x:v>
      </x:c>
      <x:c r="G3" s="22" t="str">
        <x:v>Months 2-3</x:v>
      </x:c>
      <x:c r="H3" s="22" t="n">
        <x:v>2</x:v>
      </x:c>
      <x:c r="I3" s="22" t="n">
        <x:v>4</x:v>
      </x:c>
      <x:c r="J3" s="22" t="str">
        <x:v>Open</x:v>
      </x:c>
      <x:c r="K3" s="22" t="str">
        <x:v>Pending validation after implementation and control testing.</x:v>
      </x:c>
      <x:c r="L3" s="22" t="n">
        <x:f>H3*I3</x:f>
        <x:v>8</x:v>
      </x:c>
      <x:c r="M3" s="23" t="str">
        <x:f>IF(L3&lt;=4,"Low",IF(L3&lt;=9,"Moderate",IF(L3&lt;=14,"High","Critical")))</x:f>
        <x:v>Moderate</x:v>
      </x:c>
    </x:row>
    <x:row r="4">
      <x:c r="A4" s="21" t="str">
        <x:v>R03</x:v>
      </x:c>
      <x:c r="B4" s="22" t="str">
        <x:v>Inconsistent supplier security checks may allow a vulnerable or poorly controlled third party to compromise NovaPay information or services.</x:v>
      </x:c>
      <x:c r="C4" s="22" t="str">
        <x:v>Mitigate / Share</x:v>
      </x:c>
      <x:c r="D4" s="22" t="str">
        <x:v>Tier suppliers by risk; perform due diligence; include security clauses; monitor critical suppliers and cloud services.</x:v>
      </x:c>
      <x:c r="E4" s="22" t="str">
        <x:v>GRC/Procurement/IT</x:v>
      </x:c>
      <x:c r="F4" s="22" t="str">
        <x:v>Critical</x:v>
      </x:c>
      <x:c r="G4" s="22" t="str">
        <x:v>Months 2-4</x:v>
      </x:c>
      <x:c r="H4" s="22" t="n">
        <x:v>2</x:v>
      </x:c>
      <x:c r="I4" s="22" t="n">
        <x:v>5</x:v>
      </x:c>
      <x:c r="J4" s="22" t="str">
        <x:v>Open</x:v>
      </x:c>
      <x:c r="K4" s="22" t="str">
        <x:v>Pending validation after implementation and control testing.</x:v>
      </x:c>
      <x:c r="L4" s="22" t="n">
        <x:f>H4*I4</x:f>
        <x:v>10</x:v>
      </x:c>
      <x:c r="M4" s="23" t="str">
        <x:f>IF(L4&lt;=4,"Low",IF(L4&lt;=9,"Moderate",IF(L4&lt;=14,"High","Critical")))</x:f>
        <x:v>High</x:v>
      </x:c>
    </x:row>
    <x:row r="5">
      <x:c r="A5" s="21" t="str">
        <x:v>R04</x:v>
      </x:c>
      <x:c r="B5" s="22" t="str">
        <x:v>Without a formal asset inventory, critical assets may be unmanaged, unowned or incorrectly protected, increasing the likelihood of loss or exposure.</x:v>
      </x:c>
      <x:c r="C5" s="22" t="str">
        <x:v>Mitigate</x:v>
      </x:c>
      <x:c r="D5" s="22" t="str">
        <x:v>Create asset inventory; assign owners; classify information; define acceptable-use and lifecycle requirements.</x:v>
      </x:c>
      <x:c r="E5" s="22" t="str">
        <x:v>IT/GRC + Asset Owners</x:v>
      </x:c>
      <x:c r="F5" s="22" t="str">
        <x:v>High</x:v>
      </x:c>
      <x:c r="G5" s="22" t="str">
        <x:v>Weeks 2-6</x:v>
      </x:c>
      <x:c r="H5" s="22" t="n">
        <x:v>2</x:v>
      </x:c>
      <x:c r="I5" s="22" t="n">
        <x:v>4</x:v>
      </x:c>
      <x:c r="J5" s="22" t="str">
        <x:v>Open</x:v>
      </x:c>
      <x:c r="K5" s="22" t="str">
        <x:v>Pending validation after implementation and control testing.</x:v>
      </x:c>
      <x:c r="L5" s="22" t="n">
        <x:f>H5*I5</x:f>
        <x:v>8</x:v>
      </x:c>
      <x:c r="M5" s="23" t="str">
        <x:f>IF(L5&lt;=4,"Low",IF(L5&lt;=9,"Moderate",IF(L5&lt;=14,"High","Critical")))</x:f>
        <x:v>Moderate</x:v>
      </x:c>
    </x:row>
    <x:row r="6">
      <x:c r="A6" s="21" t="str">
        <x:v>R05</x:v>
      </x:c>
      <x:c r="B6" s="22" t="str">
        <x:v>Inadequate secure-development governance may introduce exploitable defects or unauthorized code changes into the payment service.</x:v>
      </x:c>
      <x:c r="C6" s="22" t="str">
        <x:v>Mitigate</x:v>
      </x:c>
      <x:c r="D6" s="22" t="str">
        <x:v>Establish secure SDLC, application security requirements, secure coding, security testing and controlled changes.</x:v>
      </x:c>
      <x:c r="E6" s="22" t="str">
        <x:v>Engineering + Security</x:v>
      </x:c>
      <x:c r="F6" s="22" t="str">
        <x:v>Critical</x:v>
      </x:c>
      <x:c r="G6" s="22" t="str">
        <x:v>Months 2-4</x:v>
      </x:c>
      <x:c r="H6" s="22" t="n">
        <x:v>2</x:v>
      </x:c>
      <x:c r="I6" s="22" t="n">
        <x:v>5</x:v>
      </x:c>
      <x:c r="J6" s="22" t="str">
        <x:v>Open</x:v>
      </x:c>
      <x:c r="K6" s="22" t="str">
        <x:v>Pending validation after implementation and control testing.</x:v>
      </x:c>
      <x:c r="L6" s="22" t="n">
        <x:f>H6*I6</x:f>
        <x:v>10</x:v>
      </x:c>
      <x:c r="M6" s="23" t="str">
        <x:f>IF(L6&lt;=4,"Low",IF(L6&lt;=9,"Moderate",IF(L6&lt;=14,"High","Critical")))</x:f>
        <x:v>High</x:v>
      </x:c>
    </x:row>
    <x:row r="7">
      <x:c r="A7" s="21" t="str">
        <x:v>R06</x:v>
      </x:c>
      <x:c r="B7" s="22" t="str">
        <x:v>Unmanaged cloud configuration or access could expose services/data or cause disruption.</x:v>
      </x:c>
      <x:c r="C7" s="22" t="str">
        <x:v>Mitigate</x:v>
      </x:c>
      <x:c r="D7" s="22" t="str">
        <x:v>Establish cloud security responsibilities, configuration baselines, access controls and periodic review.</x:v>
      </x:c>
      <x:c r="E7" s="22" t="str">
        <x:v>Cloud/IT + Security</x:v>
      </x:c>
      <x:c r="F7" s="22" t="str">
        <x:v>High</x:v>
      </x:c>
      <x:c r="G7" s="22" t="str">
        <x:v>Months 2-4</x:v>
      </x:c>
      <x:c r="H7" s="22" t="n">
        <x:v>2</x:v>
      </x:c>
      <x:c r="I7" s="22" t="n">
        <x:v>4</x:v>
      </x:c>
      <x:c r="J7" s="22" t="str">
        <x:v>Open</x:v>
      </x:c>
      <x:c r="K7" s="22" t="str">
        <x:v>Pending validation after implementation and control testing.</x:v>
      </x:c>
      <x:c r="L7" s="22" t="n">
        <x:f>H7*I7</x:f>
        <x:v>8</x:v>
      </x:c>
      <x:c r="M7" s="23" t="str">
        <x:f>IF(L7&lt;=4,"Low",IF(L7&lt;=9,"Moderate",IF(L7&lt;=14,"High","Critical")))</x:f>
        <x:v>Moderate</x:v>
      </x:c>
    </x:row>
    <x:row r="8">
      <x:c r="A8" s="21" t="str">
        <x:v>R07</x:v>
      </x:c>
      <x:c r="B8" s="22" t="str">
        <x:v>Technical vulnerabilities may remain exploitable if identification and remediation are not governed consistently.</x:v>
      </x:c>
      <x:c r="C8" s="22" t="str">
        <x:v>Mitigate</x:v>
      </x:c>
      <x:c r="D8" s="22" t="str">
        <x:v>Implement vulnerability scanning, risk-based remediation SLAs, exception handling and tracking.</x:v>
      </x:c>
      <x:c r="E8" s="22" t="str">
        <x:v>IT/Security</x:v>
      </x:c>
      <x:c r="F8" s="22" t="str">
        <x:v>High</x:v>
      </x:c>
      <x:c r="G8" s="22" t="str">
        <x:v>Months 2-4</x:v>
      </x:c>
      <x:c r="H8" s="22" t="n">
        <x:v>2</x:v>
      </x:c>
      <x:c r="I8" s="22" t="n">
        <x:v>4</x:v>
      </x:c>
      <x:c r="J8" s="22" t="str">
        <x:v>Open</x:v>
      </x:c>
      <x:c r="K8" s="22" t="str">
        <x:v>Pending validation after implementation and control testing.</x:v>
      </x:c>
      <x:c r="L8" s="22" t="n">
        <x:f>H8*I8</x:f>
        <x:v>8</x:v>
      </x:c>
      <x:c r="M8" s="23" t="str">
        <x:f>IF(L8&lt;=4,"Low",IF(L8&lt;=9,"Moderate",IF(L8&lt;=14,"High","Critical")))</x:f>
        <x:v>Moderate</x:v>
      </x:c>
    </x:row>
    <x:row r="9">
      <x:c r="A9" s="21" t="str">
        <x:v>R08</x:v>
      </x:c>
      <x:c r="B9" s="22" t="str">
        <x:v>Insufficient logging or monitoring could delay detection of account misuse, attacks or transaction-related anomalies.</x:v>
      </x:c>
      <x:c r="C9" s="22" t="str">
        <x:v>Mitigate</x:v>
      </x:c>
      <x:c r="D9" s="22" t="str">
        <x:v>Define logging standards, centralize security-relevant logs, alert on priority events and review monitoring effectiveness.</x:v>
      </x:c>
      <x:c r="E9" s="22" t="str">
        <x:v>Security/IT</x:v>
      </x:c>
      <x:c r="F9" s="22" t="str">
        <x:v>High</x:v>
      </x:c>
      <x:c r="G9" s="22" t="str">
        <x:v>Months 2-4</x:v>
      </x:c>
      <x:c r="H9" s="22" t="n">
        <x:v>2</x:v>
      </x:c>
      <x:c r="I9" s="22" t="n">
        <x:v>4</x:v>
      </x:c>
      <x:c r="J9" s="22" t="str">
        <x:v>Open</x:v>
      </x:c>
      <x:c r="K9" s="22" t="str">
        <x:v>Pending validation after implementation and control testing.</x:v>
      </x:c>
      <x:c r="L9" s="22" t="n">
        <x:f>H9*I9</x:f>
        <x:v>8</x:v>
      </x:c>
      <x:c r="M9" s="23" t="str">
        <x:f>IF(L9&lt;=4,"Low",IF(L9&lt;=9,"Moderate",IF(L9&lt;=14,"High","Critical")))</x:f>
        <x:v>Moderate</x:v>
      </x:c>
    </x:row>
    <x:row r="10">
      <x:c r="A10" s="21" t="str">
        <x:v>R09</x:v>
      </x:c>
      <x:c r="B10" s="22" t="str">
        <x:v>Reactive security decision-making may lead to inconsistent incident assessment, escalation, containment and lessons learned.</x:v>
      </x:c>
      <x:c r="C10" s="22" t="str">
        <x:v>Mitigate</x:v>
      </x:c>
      <x:c r="D10" s="22" t="str">
        <x:v>Document incident roles, severity criteria, response procedures, evidence handling and lessons learned; run a tabletop exercise.</x:v>
      </x:c>
      <x:c r="E10" s="22" t="str">
        <x:v>Security/GRC/Management</x:v>
      </x:c>
      <x:c r="F10" s="22" t="str">
        <x:v>High</x:v>
      </x:c>
      <x:c r="G10" s="22" t="str">
        <x:v>Months 2-5</x:v>
      </x:c>
      <x:c r="H10" s="22" t="n">
        <x:v>2</x:v>
      </x:c>
      <x:c r="I10" s="22" t="n">
        <x:v>4</x:v>
      </x:c>
      <x:c r="J10" s="22" t="str">
        <x:v>Open</x:v>
      </x:c>
      <x:c r="K10" s="22" t="str">
        <x:v>Pending validation after implementation and control testing.</x:v>
      </x:c>
      <x:c r="L10" s="22" t="n">
        <x:f>H10*I10</x:f>
        <x:v>8</x:v>
      </x:c>
      <x:c r="M10" s="23" t="str">
        <x:f>IF(L10&lt;=4,"Low",IF(L10&lt;=9,"Moderate",IF(L10&lt;=14,"High","Critical")))</x:f>
        <x:v>Moderate</x:v>
      </x:c>
    </x:row>
    <x:row r="11">
      <x:c r="A11" s="21" t="str">
        <x:v>R10</x:v>
      </x:c>
      <x:c r="B11" s="22" t="str">
        <x:v>A technology, supplier or cyber disruption could make digital payment services unavailable and materially affect customers and operations.</x:v>
      </x:c>
      <x:c r="C11" s="22" t="str">
        <x:v>Mitigate / Share</x:v>
      </x:c>
      <x:c r="D11" s="22" t="str">
        <x:v>Complete business impact analysis; define recovery objectives; test backups, continuity and supplier dependencies.</x:v>
      </x:c>
      <x:c r="E11" s="22" t="str">
        <x:v>Operations/IT/Management</x:v>
      </x:c>
      <x:c r="F11" s="22" t="str">
        <x:v>Critical</x:v>
      </x:c>
      <x:c r="G11" s="22" t="str">
        <x:v>Months 3-5</x:v>
      </x:c>
      <x:c r="H11" s="22" t="n">
        <x:v>2</x:v>
      </x:c>
      <x:c r="I11" s="22" t="n">
        <x:v>5</x:v>
      </x:c>
      <x:c r="J11" s="22" t="str">
        <x:v>Open</x:v>
      </x:c>
      <x:c r="K11" s="22" t="str">
        <x:v>Pending validation after implementation and control testing.</x:v>
      </x:c>
      <x:c r="L11" s="22" t="n">
        <x:f>H11*I11</x:f>
        <x:v>10</x:v>
      </x:c>
      <x:c r="M11" s="23" t="str">
        <x:f>IF(L11&lt;=4,"Low",IF(L11&lt;=9,"Moderate",IF(L11&lt;=14,"High","Critical")))</x:f>
        <x:v>High</x:v>
      </x:c>
    </x:row>
    <x:row r="12">
      <x:c r="A12" s="21" t="str">
        <x:v>R11</x:v>
      </x:c>
      <x:c r="B12" s="22" t="str">
        <x:v>Failure to identify and meet applicable privacy, legal or contractual requirements could cause regulatory, contractual and reputational harm.</x:v>
      </x:c>
      <x:c r="C12" s="22" t="str">
        <x:v>Mitigate</x:v>
      </x:c>
      <x:c r="D12" s="49" t="str">
        <x:v>Create and maintain an Irish/EU legal and regulatory obligations register; map applicable GDPR/privacy requirements to controls; retain evidence and review compliance periodically.</x:v>
      </x:c>
      <x:c r="E12" s="22" t="str">
        <x:v>GRC/Legal/Management</x:v>
      </x:c>
      <x:c r="F12" s="22" t="str">
        <x:v>Critical</x:v>
      </x:c>
      <x:c r="G12" s="22" t="str">
        <x:v>Months 2-5</x:v>
      </x:c>
      <x:c r="H12" s="22" t="n">
        <x:v>2</x:v>
      </x:c>
      <x:c r="I12" s="22" t="n">
        <x:v>5</x:v>
      </x:c>
      <x:c r="J12" s="22" t="str">
        <x:v>Open</x:v>
      </x:c>
      <x:c r="K12" s="22" t="str">
        <x:v>Pending validation after implementation and control testing.</x:v>
      </x:c>
      <x:c r="L12" s="22" t="n">
        <x:f>H12*I12</x:f>
        <x:v>10</x:v>
      </x:c>
      <x:c r="M12" s="23" t="str">
        <x:f>IF(L12&lt;=4,"Low",IF(L12&lt;=9,"Moderate",IF(L12&lt;=14,"High","Critical")))</x:f>
        <x:v>High</x:v>
      </x:c>
    </x:row>
    <x:row r="13">
      <x:c r="A13" s="24" t="str">
        <x:v>R12</x:v>
      </x:c>
      <x:c r="B13" s="25" t="str">
        <x:v>Excessive privileged or repository access could allow unauthorized disclosure or alteration of source code and production-related configurations.</x:v>
      </x:c>
      <x:c r="C13" s="25" t="str">
        <x:v>Mitigate</x:v>
      </x:c>
      <x:c r="D13" s="25" t="str">
        <x:v>Restrict privileged and source-code access; review entitlements; protect repositories; log administrative actions.</x:v>
      </x:c>
      <x:c r="E13" s="25" t="str">
        <x:v>Engineering/IT/Security</x:v>
      </x:c>
      <x:c r="F13" s="25" t="str">
        <x:v>High</x:v>
      </x:c>
      <x:c r="G13" s="25" t="str">
        <x:v>Months 2-4</x:v>
      </x:c>
      <x:c r="H13" s="25" t="n">
        <x:v>1</x:v>
      </x:c>
      <x:c r="I13" s="25" t="n">
        <x:v>5</x:v>
      </x:c>
      <x:c r="J13" s="25" t="str">
        <x:v>Open</x:v>
      </x:c>
      <x:c r="K13" s="25" t="str">
        <x:v>Pending validation after implementation and control testing.</x:v>
      </x:c>
      <x:c r="L13" s="25" t="n">
        <x:f>H13*I13</x:f>
        <x:v>5</x:v>
      </x:c>
      <x:c r="M13" s="26" t="str">
        <x:f>IF(L13&lt;=4,"Low",IF(L13&lt;=9,"Moderate",IF(L13&lt;=14,"High","Critical")))</x:f>
        <x:v>Moderate</x:v>
      </x:c>
    </x:row>
  </x:sheetData>
  <x:dataValidations count="3">
    <x:dataValidation type="list" sqref="C2:C100">
      <x:formula1>"Mitigate,Avoid,Share / Transfer,Accept,Mitigate / Share"</x:formula1>
    </x:dataValidation>
    <x:dataValidation type="list" sqref="F2:F100">
      <x:formula1>"Low,Moderate,High,Critical"</x:formula1>
    </x:dataValidation>
    <x:dataValidation type="list" sqref="J2:J100">
      <x:formula1>"Open,In Progress,Pending Validation,Risk Accepted,Closed"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8" t="str">
        <x:v>NovaPay Solutions Ltd. - Risk Treatment Plan</x:v>
      </x:c>
    </x:row>
    <x:row r="2" ht="30" customHeight="1">
      <x:c r="A2" s="44" t="str">
        <x:v>Treatment actions linked to the cybersecurity risk register</x:v>
      </x:c>
    </x:row>
    <x:row r="4" ht="32" customHeight="1">
      <x:c r="A4" s="18" t="str">
        <x:v>Metric</x:v>
      </x:c>
      <x:c r="B4" s="20" t="str">
        <x:v>Value</x:v>
      </x:c>
      <x:c r="D4" s="6" t="str">
        <x:v>Portfolio Note</x:v>
      </x:c>
      <x:c r="E4" s="6"/>
      <x:c r="F4" s="6"/>
    </x:row>
    <x:row r="5">
      <x:c r="A5" s="21" t="str">
        <x:v>Total treatment actions</x:v>
      </x:c>
      <x:c r="B5" s="23" t="n">
        <x:f>COUNTA('Treatment Plan'!A2:A100)</x:f>
        <x:v>12</x:v>
      </x:c>
      <x:c r="D5" s="15" t="str">
        <x:v>Treatment actions are proposed for this fictional case study.
Risk reduction should only be claimed after implementation and effectiveness testing.
Residual risk acceptance remains a management decision.</x:v>
      </x:c>
    </x:row>
    <x:row r="6">
      <x:c r="A6" s="21" t="str">
        <x:v>Open actions</x:v>
      </x:c>
      <x:c r="B6" s="23" t="n">
        <x:f>COUNTIF('Treatment Plan'!J2:J100,"Open")</x:f>
        <x:v>12</x:v>
      </x:c>
    </x:row>
    <x:row r="7">
      <x:c r="A7" s="21" t="str">
        <x:v>Critical priority</x:v>
      </x:c>
      <x:c r="B7" s="23" t="n">
        <x:f>COUNTIF('Treatment Plan'!F2:F100,"Critical")</x:f>
        <x:v>6</x:v>
      </x:c>
    </x:row>
    <x:row r="8">
      <x:c r="A8" s="24" t="str">
        <x:v>Target Moderate risks</x:v>
      </x:c>
      <x:c r="B8" s="26" t="n">
        <x:f>COUNTIF('Treatment Plan'!M2:M100,"Moderate")</x:f>
        <x:v>7</x:v>
      </x:c>
    </x:row>
  </x:sheetData>
  <x:mergeCells>
    <x:mergeCell ref="A1:F1"/>
    <x:mergeCell ref="A2:F2"/>
    <x:mergeCell ref="D4:F4"/>
    <x:mergeCell ref="D5:F10"/>
  </x:mergeCells>
  <x:pageMargins left="0.7" right="0.7" top="0.75" bottom="0.75" header="0.3" footer="0.3"/>
</x:worksheet>
</file>