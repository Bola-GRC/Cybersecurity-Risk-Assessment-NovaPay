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20a43976a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A" sheetId="1" r:id="Rd7d3132f35174467"/>
    <x:sheet xmlns:r="http://schemas.openxmlformats.org/officeDocument/2006/relationships" name="Summary" sheetId="2" r:id="R219ad29c0ace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20386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c3ea44afe4b33" /><Relationship Type="http://schemas.openxmlformats.org/officeDocument/2006/relationships/theme" Target="/xl/theme/theme1.xml" Id="Rc34cd1af06c14059" /><Relationship Type="http://schemas.openxmlformats.org/officeDocument/2006/relationships/sharedStrings" Target="/xl/sharedStrings.xml" Id="Rdc6c1200c636483f" /><Relationship Type="http://schemas.openxmlformats.org/officeDocument/2006/relationships/worksheet" Target="/xl/worksheets/sheet1.xml" Id="Rd7d3132f35174467" /><Relationship Type="http://schemas.openxmlformats.org/officeDocument/2006/relationships/worksheet" Target="/xl/worksheets/sheet2.xml" Id="R219ad29c0ace4a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2" hidden="0" customWidth="1"/>
    <x:col min="4" max="4" width="46" hidden="0" customWidth="1"/>
    <x:col min="5" max="5" width="26" hidden="0" customWidth="1"/>
    <x:col min="6" max="6" width="46" hidden="0" customWidth="1"/>
    <x:col min="7" max="7" width="18" hidden="0" customWidth="1"/>
    <x:col min="8" max="8" width="22" hidden="0" customWidth="1"/>
  </x:cols>
  <x:sheetData>
    <x:row r="1" ht="32" customHeight="1">
      <x:c r="A1" s="18" t="str">
        <x:v>Control</x:v>
      </x:c>
      <x:c r="B1" s="19" t="str">
        <x:v>Control Title</x:v>
      </x:c>
      <x:c r="C1" s="19" t="str">
        <x:v>Applicable?</x:v>
      </x:c>
      <x:c r="D1" s="19" t="str">
        <x:v>Justification</x:v>
      </x:c>
      <x:c r="E1" s="19" t="str">
        <x:v>Implementation Status</x:v>
      </x:c>
      <x:c r="F1" s="19" t="str">
        <x:v>Case Evidence / Note</x:v>
      </x:c>
      <x:c r="G1" s="19" t="str">
        <x:v>Gap Link</x:v>
      </x:c>
      <x:c r="H1" s="20" t="str">
        <x:v>Risk Link</x:v>
      </x:c>
    </x:row>
    <x:row r="2">
      <x:c r="A2" s="21" t="str">
        <x:v>A.5.1</x:v>
      </x:c>
      <x:c r="B2" s="22" t="str">
        <x:v>Policies for information security</x:v>
      </x:c>
      <x:c r="C2" s="22" t="str">
        <x:v>Yes</x:v>
      </x:c>
      <x:c r="D2" s="22" t="str">
        <x:v>Addresses incomplete security policies and provides management direction.</x:v>
      </x:c>
      <x:c r="E2" s="22" t="str">
        <x:v>Partially Implemented</x:v>
      </x:c>
      <x:c r="F2" s="22" t="str">
        <x:v>Policies exist but are incomplete.</x:v>
      </x:c>
      <x:c r="G2" s="22" t="str">
        <x:v>G02</x:v>
      </x:c>
      <x:c r="H2" s="23" t="str">
        <x:v>R01-R12</x:v>
      </x:c>
    </x:row>
    <x:row r="3">
      <x:c r="A3" s="21" t="str">
        <x:v>A.5.2</x:v>
      </x:c>
      <x:c r="B3" s="22" t="str">
        <x:v>Information security roles and responsibilities</x:v>
      </x:c>
      <x:c r="C3" s="22" t="str">
        <x:v>Yes</x:v>
      </x:c>
      <x:c r="D3" s="22" t="str">
        <x:v>Clarifies accountability for security decisions, risks and controls.</x:v>
      </x:c>
      <x:c r="E3" s="22" t="str">
        <x:v>To Be Assessed / Implemented</x:v>
      </x:c>
      <x:c r="F3" s="22" t="str">
        <x:v>Case evidence does not confirm formal role assignment.</x:v>
      </x:c>
      <x:c r="G3" s="22" t="str">
        <x:v>G09</x:v>
      </x:c>
      <x:c r="H3" s="23" t="str">
        <x:v>R01,R03,R09-R11</x:v>
      </x:c>
    </x:row>
    <x:row r="4">
      <x:c r="A4" s="21" t="str">
        <x:v>A.5.9</x:v>
      </x:c>
      <x:c r="B4" s="22" t="str">
        <x:v>Inventory of information and other associated assets</x:v>
      </x:c>
      <x:c r="C4" s="22" t="str">
        <x:v>Yes</x:v>
      </x:c>
      <x:c r="D4" s="22" t="str">
        <x:v>Directly addresses the absence of a formal asset inventory.</x:v>
      </x:c>
      <x:c r="E4" s="22" t="str">
        <x:v>Not Implemented</x:v>
      </x:c>
      <x:c r="F4" s="22" t="str">
        <x:v>Case explicitly states no formal asset inventory.</x:v>
      </x:c>
      <x:c r="G4" s="22" t="str">
        <x:v>G03</x:v>
      </x:c>
      <x:c r="H4" s="23" t="str">
        <x:v>R04</x:v>
      </x:c>
    </x:row>
    <x:row r="5">
      <x:c r="A5" s="21" t="str">
        <x:v>A.5.12</x:v>
      </x:c>
      <x:c r="B5" s="22" t="str">
        <x:v>Classification of information</x:v>
      </x:c>
      <x:c r="C5" s="22" t="str">
        <x:v>Yes</x:v>
      </x:c>
      <x:c r="D5" s="22" t="str">
        <x:v>Supports proportionate handling of customer, transaction, employee and financial information.</x:v>
      </x:c>
      <x:c r="E5" s="22" t="str">
        <x:v>To Be Assessed / Implemented</x:v>
      </x:c>
      <x:c r="F5" s="22" t="str">
        <x:v>Classification process evidence is not provided.</x:v>
      </x:c>
      <x:c r="G5" s="22" t="str">
        <x:v>G03</x:v>
      </x:c>
      <x:c r="H5" s="23" t="str">
        <x:v>R01,R04,R11</x:v>
      </x:c>
    </x:row>
    <x:row r="6">
      <x:c r="A6" s="21" t="str">
        <x:v>A.5.15</x:v>
      </x:c>
      <x:c r="B6" s="22" t="str">
        <x:v>Access control</x:v>
      </x:c>
      <x:c r="C6" s="22" t="str">
        <x:v>Yes</x:v>
      </x:c>
      <x:c r="D6" s="22" t="str">
        <x:v>Defines business and security rules for access to information and systems.</x:v>
      </x:c>
      <x:c r="E6" s="22" t="str">
        <x:v>To Be Assessed / Implemented</x:v>
      </x:c>
      <x:c r="F6" s="22" t="str">
        <x:v>Access-control effectiveness evidence is not provided.</x:v>
      </x:c>
      <x:c r="G6" s="22" t="str">
        <x:v>G02,G09</x:v>
      </x:c>
      <x:c r="H6" s="23" t="str">
        <x:v>R01,R12</x:v>
      </x:c>
    </x:row>
    <x:row r="7">
      <x:c r="A7" s="21" t="str">
        <x:v>A.5.16</x:v>
      </x:c>
      <x:c r="B7" s="22" t="str">
        <x:v>Identity management</x:v>
      </x:c>
      <x:c r="C7" s="22" t="str">
        <x:v>Yes</x:v>
      </x:c>
      <x:c r="D7" s="22" t="str">
        <x:v>Supports identity lifecycle from creation through change and removal.</x:v>
      </x:c>
      <x:c r="E7" s="22" t="str">
        <x:v>To Be Assessed / Implemented</x:v>
      </x:c>
      <x:c r="F7" s="22" t="str">
        <x:v>Identity lifecycle evidence is not provided.</x:v>
      </x:c>
      <x:c r="G7" s="22" t="str">
        <x:v>G09</x:v>
      </x:c>
      <x:c r="H7" s="23" t="str">
        <x:v>R01,R02,R12</x:v>
      </x:c>
    </x:row>
    <x:row r="8">
      <x:c r="A8" s="21" t="str">
        <x:v>A.5.17</x:v>
      </x:c>
      <x:c r="B8" s="22" t="str">
        <x:v>Authentication information</x:v>
      </x:c>
      <x:c r="C8" s="22" t="str">
        <x:v>Yes</x:v>
      </x:c>
      <x:c r="D8" s="22" t="str">
        <x:v>Protects passwords, secrets and other authentication information.</x:v>
      </x:c>
      <x:c r="E8" s="22" t="str">
        <x:v>To Be Assessed / Implemented</x:v>
      </x:c>
      <x:c r="F8" s="22" t="str">
        <x:v>Authentication-information handling evidence is not provided.</x:v>
      </x:c>
      <x:c r="G8" s="22" t="str">
        <x:v>G09</x:v>
      </x:c>
      <x:c r="H8" s="23" t="str">
        <x:v>R01,R02</x:v>
      </x:c>
    </x:row>
    <x:row r="9">
      <x:c r="A9" s="21" t="str">
        <x:v>A.5.18</x:v>
      </x:c>
      <x:c r="B9" s="22" t="str">
        <x:v>Access rights</x:v>
      </x:c>
      <x:c r="C9" s="22" t="str">
        <x:v>Yes</x:v>
      </x:c>
      <x:c r="D9" s="22" t="str">
        <x:v>Supports provisioning, review, modification and removal of access rights.</x:v>
      </x:c>
      <x:c r="E9" s="22" t="str">
        <x:v>To Be Assessed / Implemented</x:v>
      </x:c>
      <x:c r="F9" s="22" t="str">
        <x:v>Periodic access-review evidence is not provided.</x:v>
      </x:c>
      <x:c r="G9" s="22" t="str">
        <x:v>G09</x:v>
      </x:c>
      <x:c r="H9" s="23" t="str">
        <x:v>R01,R12</x:v>
      </x:c>
    </x:row>
    <x:row r="10">
      <x:c r="A10" s="21" t="str">
        <x:v>A.5.19</x:v>
      </x:c>
      <x:c r="B10" s="22" t="str">
        <x:v>Information security in supplier relationships</x:v>
      </x:c>
      <x:c r="C10" s="22" t="str">
        <x:v>Yes</x:v>
      </x:c>
      <x:c r="D10" s="22" t="str">
        <x:v>Addresses supplier security governance and risk requirements.</x:v>
      </x:c>
      <x:c r="E10" s="22" t="str">
        <x:v>Partially Implemented</x:v>
      </x:c>
      <x:c r="F10" s="22" t="str">
        <x:v>Third-party checks exist but are inconsistent.</x:v>
      </x:c>
      <x:c r="G10" s="22" t="str">
        <x:v>G08</x:v>
      </x:c>
      <x:c r="H10" s="23" t="str">
        <x:v>R03,R10</x:v>
      </x:c>
    </x:row>
    <x:row r="11">
      <x:c r="A11" s="21" t="str">
        <x:v>A.5.20</x:v>
      </x:c>
      <x:c r="B11" s="22" t="str">
        <x:v>Addressing information security within supplier agreements</x:v>
      </x:c>
      <x:c r="C11" s="22" t="str">
        <x:v>Yes</x:v>
      </x:c>
      <x:c r="D11" s="22" t="str">
        <x:v>Places security responsibilities and obligations into supplier contracts.</x:v>
      </x:c>
      <x:c r="E11" s="22" t="str">
        <x:v>Partially Implemented</x:v>
      </x:c>
      <x:c r="F11" s="22" t="str">
        <x:v>Supplier checks exist; contract-security evidence is not provided.</x:v>
      </x:c>
      <x:c r="G11" s="22" t="str">
        <x:v>G08</x:v>
      </x:c>
      <x:c r="H11" s="23" t="str">
        <x:v>R03,R10,R11</x:v>
      </x:c>
    </x:row>
    <x:row r="12">
      <x:c r="A12" s="21" t="str">
        <x:v>A.5.22</x:v>
      </x:c>
      <x:c r="B12" s="22" t="str">
        <x:v>Monitoring, review and change management of supplier services</x:v>
      </x:c>
      <x:c r="C12" s="22" t="str">
        <x:v>Yes</x:v>
      </x:c>
      <x:c r="D12" s="22" t="str">
        <x:v>Requires ongoing review of supplier security and service changes.</x:v>
      </x:c>
      <x:c r="E12" s="22" t="str">
        <x:v>Partially Implemented</x:v>
      </x:c>
      <x:c r="F12" s="22" t="str">
        <x:v>Third-party checks are inconsistent.</x:v>
      </x:c>
      <x:c r="G12" s="22" t="str">
        <x:v>G08</x:v>
      </x:c>
      <x:c r="H12" s="23" t="str">
        <x:v>R03,R10</x:v>
      </x:c>
    </x:row>
    <x:row r="13">
      <x:c r="A13" s="21" t="str">
        <x:v>A.5.23</x:v>
      </x:c>
      <x:c r="B13" s="22" t="str">
        <x:v>Information security for use of cloud services</x:v>
      </x:c>
      <x:c r="C13" s="22" t="str">
        <x:v>Yes</x:v>
      </x:c>
      <x:c r="D13" s="22" t="str">
        <x:v>Relevant because NovaPay uses cloud-based systems.</x:v>
      </x:c>
      <x:c r="E13" s="22" t="str">
        <x:v>To Be Assessed / Implemented</x:v>
      </x:c>
      <x:c r="F13" s="22" t="str">
        <x:v>Cloud governance evidence is not provided.</x:v>
      </x:c>
      <x:c r="G13" s="22" t="str">
        <x:v>G08</x:v>
      </x:c>
      <x:c r="H13" s="23" t="str">
        <x:v>R03,R06,R10</x:v>
      </x:c>
    </x:row>
    <x:row r="14">
      <x:c r="A14" s="21" t="str">
        <x:v>A.5.24</x:v>
      </x:c>
      <x:c r="B14" s="22" t="str">
        <x:v>Information security incident management planning and preparation</x:v>
      </x:c>
      <x:c r="C14" s="22" t="str">
        <x:v>Yes</x:v>
      </x:c>
      <x:c r="D14" s="22" t="str">
        <x:v>Creates defined incident roles, procedures and readiness.</x:v>
      </x:c>
      <x:c r="E14" s="22" t="str">
        <x:v>To Be Assessed / Implemented</x:v>
      </x:c>
      <x:c r="F14" s="22" t="str">
        <x:v>Formal tested incident planning evidence is not provided.</x:v>
      </x:c>
      <x:c r="G14" s="22" t="str">
        <x:v>G09</x:v>
      </x:c>
      <x:c r="H14" s="23" t="str">
        <x:v>R09</x:v>
      </x:c>
    </x:row>
    <x:row r="15">
      <x:c r="A15" s="21" t="str">
        <x:v>A.5.26</x:v>
      </x:c>
      <x:c r="B15" s="22" t="str">
        <x:v>Response to information security incidents</x:v>
      </x:c>
      <x:c r="C15" s="22" t="str">
        <x:v>Yes</x:v>
      </x:c>
      <x:c r="D15" s="22" t="str">
        <x:v>Supports consistent containment, eradication, recovery and communication.</x:v>
      </x:c>
      <x:c r="E15" s="22" t="str">
        <x:v>To Be Assessed / Implemented</x:v>
      </x:c>
      <x:c r="F15" s="22" t="str">
        <x:v>Incident-response effectiveness evidence is not provided.</x:v>
      </x:c>
      <x:c r="G15" s="22" t="str">
        <x:v>G09</x:v>
      </x:c>
      <x:c r="H15" s="23" t="str">
        <x:v>R09</x:v>
      </x:c>
    </x:row>
    <x:row r="16">
      <x:c r="A16" s="21" t="str">
        <x:v>A.5.30</x:v>
      </x:c>
      <x:c r="B16" s="22" t="str">
        <x:v>ICT readiness for business continuity</x:v>
      </x:c>
      <x:c r="C16" s="22" t="str">
        <x:v>Yes</x:v>
      </x:c>
      <x:c r="D16" s="22" t="str">
        <x:v>Supports resilience and recovery of payment services and supporting technology.</x:v>
      </x:c>
      <x:c r="E16" s="22" t="str">
        <x:v>To Be Assessed / Implemented</x:v>
      </x:c>
      <x:c r="F16" s="22" t="str">
        <x:v>Continuity testing evidence is not provided.</x:v>
      </x:c>
      <x:c r="G16" s="22" t="str">
        <x:v>G09</x:v>
      </x:c>
      <x:c r="H16" s="23" t="str">
        <x:v>R10</x:v>
      </x:c>
    </x:row>
    <x:row r="17">
      <x:c r="A17" s="21" t="str">
        <x:v>A.5.31</x:v>
      </x:c>
      <x:c r="B17" s="22" t="str">
        <x:v>Legal, statutory, regulatory and contractual requirements</x:v>
      </x:c>
      <x:c r="C17" s="22" t="str">
        <x:v>Yes</x:v>
      </x:c>
      <x:c r="D17" s="49" t="str">
        <x:v>Requires NovaPay to identify, document and maintain applicable Irish, EU and contractual obligations for its services and markets.</x:v>
      </x:c>
      <x:c r="E17" s="22" t="str">
        <x:v>To Be Assessed / Implemented</x:v>
      </x:c>
      <x:c r="F17" s="49" t="str">
        <x:v>Detailed Irish/EU obligations register is not provided; GDPR applicability should be confirmed and evidenced for personal-data processing.</x:v>
      </x:c>
      <x:c r="G17" s="22" t="str">
        <x:v>G10</x:v>
      </x:c>
      <x:c r="H17" s="23" t="str">
        <x:v>R11</x:v>
      </x:c>
    </x:row>
    <x:row r="18">
      <x:c r="A18" s="21" t="str">
        <x:v>A.5.34</x:v>
      </x:c>
      <x:c r="B18" s="22" t="str">
        <x:v>Privacy and protection of PII</x:v>
      </x:c>
      <x:c r="C18" s="22" t="str">
        <x:v>Yes</x:v>
      </x:c>
      <x:c r="D18" s="49" t="str">
        <x:v>Relevant because NovaPay processes customer and employee personal information in an Ireland/EU operating context.</x:v>
      </x:c>
      <x:c r="E18" s="22" t="str">
        <x:v>To Be Assessed / Implemented</x:v>
      </x:c>
      <x:c r="F18" s="49" t="str">
        <x:v>Privacy-control evidence is not provided; GDPR-aligned privacy controls should be validated where applicable.</x:v>
      </x:c>
      <x:c r="G18" s="22" t="str">
        <x:v>G10</x:v>
      </x:c>
      <x:c r="H18" s="23" t="str">
        <x:v>R01,R11</x:v>
      </x:c>
    </x:row>
    <x:row r="19">
      <x:c r="A19" s="21" t="str">
        <x:v>A.6.3</x:v>
      </x:c>
      <x:c r="B19" s="22" t="str">
        <x:v>Information security awareness, education and training</x:v>
      </x:c>
      <x:c r="C19" s="22" t="str">
        <x:v>Yes</x:v>
      </x:c>
      <x:c r="D19" s="22" t="str">
        <x:v>Directly addresses irregular security awareness training.</x:v>
      </x:c>
      <x:c r="E19" s="22" t="str">
        <x:v>Partially Implemented</x:v>
      </x:c>
      <x:c r="F19" s="22" t="str">
        <x:v>Training exists but is irregular.</x:v>
      </x:c>
      <x:c r="G19" s="22" t="str">
        <x:v>G07</x:v>
      </x:c>
      <x:c r="H19" s="23" t="str">
        <x:v>R02</x:v>
      </x:c>
    </x:row>
    <x:row r="20">
      <x:c r="A20" s="21" t="str">
        <x:v>A.6.8</x:v>
      </x:c>
      <x:c r="B20" s="22" t="str">
        <x:v>Information security event reporting</x:v>
      </x:c>
      <x:c r="C20" s="22" t="str">
        <x:v>Yes</x:v>
      </x:c>
      <x:c r="D20" s="22" t="str">
        <x:v>Helps personnel promptly report suspicious events and incidents.</x:v>
      </x:c>
      <x:c r="E20" s="22" t="str">
        <x:v>To Be Assessed / Implemented</x:v>
      </x:c>
      <x:c r="F20" s="22" t="str">
        <x:v>Formal event-reporting evidence is not provided.</x:v>
      </x:c>
      <x:c r="G20" s="22" t="str">
        <x:v>G07,G09</x:v>
      </x:c>
      <x:c r="H20" s="23" t="str">
        <x:v>R02,R09</x:v>
      </x:c>
    </x:row>
    <x:row r="21">
      <x:c r="A21" s="21" t="str">
        <x:v>A.8.5</x:v>
      </x:c>
      <x:c r="B21" s="22" t="str">
        <x:v>Secure authentication</x:v>
      </x:c>
      <x:c r="C21" s="22" t="str">
        <x:v>Yes</x:v>
      </x:c>
      <x:c r="D21" s="22" t="str">
        <x:v>Reduces credential-based compromise risk.</x:v>
      </x:c>
      <x:c r="E21" s="22" t="str">
        <x:v>To Be Assessed / Implemented</x:v>
      </x:c>
      <x:c r="F21" s="22" t="str">
        <x:v>Authentication-control effectiveness evidence is not provided.</x:v>
      </x:c>
      <x:c r="G21" s="22" t="str">
        <x:v>G09</x:v>
      </x:c>
      <x:c r="H21" s="23" t="str">
        <x:v>R01,R02</x:v>
      </x:c>
    </x:row>
    <x:row r="22">
      <x:c r="A22" s="21" t="str">
        <x:v>A.8.8</x:v>
      </x:c>
      <x:c r="B22" s="22" t="str">
        <x:v>Management of technical vulnerabilities</x:v>
      </x:c>
      <x:c r="C22" s="22" t="str">
        <x:v>Yes</x:v>
      </x:c>
      <x:c r="D22" s="22" t="str">
        <x:v>Provides a formal process for identifying and treating exploitable weaknesses.</x:v>
      </x:c>
      <x:c r="E22" s="22" t="str">
        <x:v>To Be Assessed / Implemented</x:v>
      </x:c>
      <x:c r="F22" s="22" t="str">
        <x:v>Vulnerability-management evidence is not provided.</x:v>
      </x:c>
      <x:c r="G22" s="22" t="str">
        <x:v>G10</x:v>
      </x:c>
      <x:c r="H22" s="23" t="str">
        <x:v>R05-R07</x:v>
      </x:c>
    </x:row>
    <x:row r="23">
      <x:c r="A23" s="21" t="str">
        <x:v>A.8.15</x:v>
      </x:c>
      <x:c r="B23" s="22" t="str">
        <x:v>Logging</x:v>
      </x:c>
      <x:c r="C23" s="22" t="str">
        <x:v>Yes</x:v>
      </x:c>
      <x:c r="D23" s="22" t="str">
        <x:v>Provides evidence for detection, investigation and accountability.</x:v>
      </x:c>
      <x:c r="E23" s="22" t="str">
        <x:v>To Be Assessed / Implemented</x:v>
      </x:c>
      <x:c r="F23" s="22" t="str">
        <x:v>Logging coverage evidence is not provided.</x:v>
      </x:c>
      <x:c r="G23" s="22" t="str">
        <x:v>G10</x:v>
      </x:c>
      <x:c r="H23" s="23" t="str">
        <x:v>R01,R08,R12</x:v>
      </x:c>
    </x:row>
    <x:row r="24">
      <x:c r="A24" s="21" t="str">
        <x:v>A.8.16</x:v>
      </x:c>
      <x:c r="B24" s="22" t="str">
        <x:v>Monitoring activities</x:v>
      </x:c>
      <x:c r="C24" s="22" t="str">
        <x:v>Yes</x:v>
      </x:c>
      <x:c r="D24" s="22" t="str">
        <x:v>Supports timely detection of anomalous or malicious activity.</x:v>
      </x:c>
      <x:c r="E24" s="22" t="str">
        <x:v>To Be Assessed / Implemented</x:v>
      </x:c>
      <x:c r="F24" s="22" t="str">
        <x:v>Monitoring effectiveness evidence is not provided.</x:v>
      </x:c>
      <x:c r="G24" s="22" t="str">
        <x:v>G10</x:v>
      </x:c>
      <x:c r="H24" s="23" t="str">
        <x:v>R01,R08,R09</x:v>
      </x:c>
    </x:row>
    <x:row r="25">
      <x:c r="A25" s="21" t="str">
        <x:v>A.8.20</x:v>
      </x:c>
      <x:c r="B25" s="22" t="str">
        <x:v>Network security</x:v>
      </x:c>
      <x:c r="C25" s="22" t="str">
        <x:v>Yes</x:v>
      </x:c>
      <x:c r="D25" s="22" t="str">
        <x:v>Protects networked services and communications supporting the payment environment.</x:v>
      </x:c>
      <x:c r="E25" s="22" t="str">
        <x:v>To Be Assessed / Implemented</x:v>
      </x:c>
      <x:c r="F25" s="22" t="str">
        <x:v>Network-security control evidence is not provided.</x:v>
      </x:c>
      <x:c r="G25" s="22" t="str">
        <x:v>G10</x:v>
      </x:c>
      <x:c r="H25" s="23" t="str">
        <x:v>R06,R10</x:v>
      </x:c>
    </x:row>
    <x:row r="26">
      <x:c r="A26" s="21" t="str">
        <x:v>A.8.24</x:v>
      </x:c>
      <x:c r="B26" s="22" t="str">
        <x:v>Use of cryptography</x:v>
      </x:c>
      <x:c r="C26" s="22" t="str">
        <x:v>Yes</x:v>
      </x:c>
      <x:c r="D26" s="22" t="str">
        <x:v>Supports confidentiality and integrity of sensitive information in storage and transfer where required.</x:v>
      </x:c>
      <x:c r="E26" s="22" t="str">
        <x:v>To Be Assessed / Implemented</x:v>
      </x:c>
      <x:c r="F26" s="22" t="str">
        <x:v>Cryptographic-control evidence is not provided.</x:v>
      </x:c>
      <x:c r="G26" s="22" t="str">
        <x:v>G10</x:v>
      </x:c>
      <x:c r="H26" s="23" t="str">
        <x:v>R01,R03,R11</x:v>
      </x:c>
    </x:row>
    <x:row r="27">
      <x:c r="A27" s="21" t="str">
        <x:v>A.8.25</x:v>
      </x:c>
      <x:c r="B27" s="22" t="str">
        <x:v>Secure development life cycle</x:v>
      </x:c>
      <x:c r="C27" s="22" t="str">
        <x:v>Yes</x:v>
      </x:c>
      <x:c r="D27" s="22" t="str">
        <x:v>Embeds security throughout development and change activities.</x:v>
      </x:c>
      <x:c r="E27" s="22" t="str">
        <x:v>To Be Assessed / Implemented</x:v>
      </x:c>
      <x:c r="F27" s="22" t="str">
        <x:v>Secure SDLC evidence is not provided.</x:v>
      </x:c>
      <x:c r="G27" s="22" t="str">
        <x:v>G10</x:v>
      </x:c>
      <x:c r="H27" s="23" t="str">
        <x:v>R05</x:v>
      </x:c>
    </x:row>
    <x:row r="28">
      <x:c r="A28" s="21" t="str">
        <x:v>A.8.28</x:v>
      </x:c>
      <x:c r="B28" s="22" t="str">
        <x:v>Secure coding</x:v>
      </x:c>
      <x:c r="C28" s="22" t="str">
        <x:v>Yes</x:v>
      </x:c>
      <x:c r="D28" s="22" t="str">
        <x:v>Reduces the likelihood of application vulnerabilities introduced in code.</x:v>
      </x:c>
      <x:c r="E28" s="22" t="str">
        <x:v>To Be Assessed / Implemented</x:v>
      </x:c>
      <x:c r="F28" s="22" t="str">
        <x:v>Secure-coding evidence is not provided.</x:v>
      </x:c>
      <x:c r="G28" s="22" t="str">
        <x:v>G10</x:v>
      </x:c>
      <x:c r="H28" s="23" t="str">
        <x:v>R05</x:v>
      </x:c>
    </x:row>
    <x:row r="29">
      <x:c r="A29" s="21" t="str">
        <x:v>A.8.29</x:v>
      </x:c>
      <x:c r="B29" s="22" t="str">
        <x:v>Security testing in development and acceptance</x:v>
      </x:c>
      <x:c r="C29" s="22" t="str">
        <x:v>Yes</x:v>
      </x:c>
      <x:c r="D29" s="22" t="str">
        <x:v>Requires security testing before systems or significant changes are accepted.</x:v>
      </x:c>
      <x:c r="E29" s="22" t="str">
        <x:v>To Be Assessed / Implemented</x:v>
      </x:c>
      <x:c r="F29" s="22" t="str">
        <x:v>Security-testing evidence is not provided.</x:v>
      </x:c>
      <x:c r="G29" s="22" t="str">
        <x:v>G10</x:v>
      </x:c>
      <x:c r="H29" s="23" t="str">
        <x:v>R05</x:v>
      </x:c>
    </x:row>
    <x:row r="30">
      <x:c r="A30" s="24" t="str">
        <x:v>A.8.32</x:v>
      </x:c>
      <x:c r="B30" s="25" t="str">
        <x:v>Change management</x:v>
      </x:c>
      <x:c r="C30" s="25" t="str">
        <x:v>Yes</x:v>
      </x:c>
      <x:c r="D30" s="25" t="str">
        <x:v>Reduces uncontrolled or unauthorized changes to production-supporting systems.</x:v>
      </x:c>
      <x:c r="E30" s="25" t="str">
        <x:v>To Be Assessed / Implemented</x:v>
      </x:c>
      <x:c r="F30" s="25" t="str">
        <x:v>Formal change-control evidence is not provided.</x:v>
      </x:c>
      <x:c r="G30" s="25" t="str">
        <x:v>G10</x:v>
      </x:c>
      <x:c r="H30" s="26" t="str">
        <x:v>R05,R06</x:v>
      </x:c>
    </x:row>
  </x:sheetData>
  <x:dataValidations count="2">
    <x:dataValidation type="list" sqref="C2:C100">
      <x:formula1>"Yes,No"</x:formula1>
    </x:dataValidation>
    <x:dataValidation type="list" sqref="E2:E100">
      <x:formula1>"Implemented,Partially Implemented,Not Implemented,To Be Assessed / Implemented,Not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8" t="str">
        <x:v>NovaPay Solutions Ltd. - Statement of Applicability</x:v>
      </x:c>
    </x:row>
    <x:row r="2" ht="30" customHeight="1">
      <x:c r="A2" s="44" t="str">
        <x:v>Selected-control SoA for the portfolio case study</x:v>
      </x:c>
    </x:row>
    <x:row r="4" ht="32" customHeight="1">
      <x:c r="A4" s="18" t="str">
        <x:v>Metric</x:v>
      </x:c>
      <x:c r="B4" s="20" t="str">
        <x:v>Value</x:v>
      </x:c>
      <x:c r="D4" s="6" t="str">
        <x:v>Portfolio Note</x:v>
      </x:c>
      <x:c r="E4" s="6"/>
      <x:c r="F4" s="6"/>
    </x:row>
    <x:row r="5">
      <x:c r="A5" s="21" t="str">
        <x:v>Selected controls</x:v>
      </x:c>
      <x:c r="B5" s="23" t="n">
        <x:f>COUNTA('SoA'!A2:A100)</x:f>
        <x:v>29</x:v>
      </x:c>
      <x:c r="D5" s="15" t="str">
        <x:v>This is a selected-control SoA for the case study.
A certification-ready SoA should document the organisation's complete control determination and rationale.
Implementation status is not overstated where evidence was not provided.</x:v>
      </x:c>
    </x:row>
    <x:row r="6">
      <x:c r="A6" s="21" t="str">
        <x:v>Partially implemented</x:v>
      </x:c>
      <x:c r="B6" s="23" t="n">
        <x:f>COUNTIF('SoA'!E2:E100,"Partially Implemented")</x:f>
        <x:v>5</x:v>
      </x:c>
    </x:row>
    <x:row r="7">
      <x:c r="A7" s="21" t="str">
        <x:v>Not implemented</x:v>
      </x:c>
      <x:c r="B7" s="23" t="n">
        <x:f>COUNTIF('SoA'!E2:E100,"Not Implemented")</x:f>
        <x:v>1</x:v>
      </x:c>
    </x:row>
    <x:row r="8">
      <x:c r="A8" s="24" t="str">
        <x:v>To be assessed / implemented</x:v>
      </x:c>
      <x:c r="B8" s="26" t="n">
        <x:f>COUNTIF('SoA'!E2:E100,"To Be Assessed / Implemented")</x:f>
        <x:v>23</x:v>
      </x:c>
    </x:row>
  </x:sheetData>
  <x:mergeCells>
    <x:mergeCell ref="A1:F1"/>
    <x:mergeCell ref="A2:F2"/>
    <x:mergeCell ref="D4:F4"/>
    <x:mergeCell ref="D5:F10"/>
  </x:mergeCells>
  <x:pageMargins left="0.7" right="0.7" top="0.75" bottom="0.75" header="0.3" footer="0.3"/>
</x:worksheet>
</file>