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5b6f7822c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Analysis" sheetId="1" r:id="R46895fce243442bc"/>
    <x:sheet xmlns:r="http://schemas.openxmlformats.org/officeDocument/2006/relationships" name="Summary" sheetId="2" r:id="Re56e10ac9247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0386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d484fc72e4f97" /><Relationship Type="http://schemas.openxmlformats.org/officeDocument/2006/relationships/theme" Target="/xl/theme/theme1.xml" Id="R4dec6b5931b947d2" /><Relationship Type="http://schemas.openxmlformats.org/officeDocument/2006/relationships/sharedStrings" Target="/xl/sharedStrings.xml" Id="R0960699e584045dc" /><Relationship Type="http://schemas.openxmlformats.org/officeDocument/2006/relationships/worksheet" Target="/xl/worksheets/sheet1.xml" Id="R46895fce243442bc" /><Relationship Type="http://schemas.openxmlformats.org/officeDocument/2006/relationships/worksheet" Target="/xl/worksheets/sheet2.xml" Id="Re56e10ac9247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42" hidden="0" customWidth="1"/>
    <x:col min="5" max="5" width="20" hidden="0" customWidth="1"/>
    <x:col min="6" max="6" width="46" hidden="0" customWidth="1"/>
    <x:col min="7" max="7" width="14" hidden="0" customWidth="1"/>
    <x:col min="8" max="8" width="16" hidden="0" customWidth="1"/>
  </x:cols>
  <x:sheetData>
    <x:row r="1" ht="32" customHeight="1">
      <x:c r="A1" s="18" t="str">
        <x:v>Gap ID</x:v>
      </x:c>
      <x:c r="B1" s="19" t="str">
        <x:v>Evidence Status</x:v>
      </x:c>
      <x:c r="C1" s="19" t="str">
        <x:v>Current State / Gap</x:v>
      </x:c>
      <x:c r="D1" s="19" t="str">
        <x:v>Risk Created</x:v>
      </x:c>
      <x:c r="E1" s="19" t="str">
        <x:v>ISO Reference</x:v>
      </x:c>
      <x:c r="F1" s="19" t="str">
        <x:v>Recommended Improvement</x:v>
      </x:c>
      <x:c r="G1" s="19" t="str">
        <x:v>Priority</x:v>
      </x:c>
      <x:c r="H1" s="20" t="str">
        <x:v>Status</x:v>
      </x:c>
    </x:row>
    <x:row r="2">
      <x:c r="A2" s="21" t="str">
        <x:v>G01</x:v>
      </x:c>
      <x:c r="B2" s="22" t="str">
        <x:v>Confirmed</x:v>
      </x:c>
      <x:c r="C2" s="22" t="str">
        <x:v>No clearly defined ISMS scope</x:v>
      </x:c>
      <x:c r="D2" s="22" t="str">
        <x:v>ISMS boundaries and applicability are unclear; critical activities may fall outside governance.</x:v>
      </x:c>
      <x:c r="E2" s="22" t="str">
        <x:v>Clause 4.3</x:v>
      </x:c>
      <x:c r="F2" s="22" t="str">
        <x:v>Define, approve and maintain a documented ISMS scope.</x:v>
      </x:c>
      <x:c r="G2" s="22" t="str">
        <x:v>Critical</x:v>
      </x:c>
      <x:c r="H2" s="23" t="str">
        <x:v>Open</x:v>
      </x:c>
    </x:row>
    <x:row r="3">
      <x:c r="A3" s="21" t="str">
        <x:v>G02</x:v>
      </x:c>
      <x:c r="B3" s="22" t="str">
        <x:v>Confirmed</x:v>
      </x:c>
      <x:c r="C3" s="22" t="str">
        <x:v>Security policies are incomplete</x:v>
      </x:c>
      <x:c r="D3" s="22" t="str">
        <x:v>Employees and control owners may apply inconsistent security requirements.</x:v>
      </x:c>
      <x:c r="E3" s="22" t="str">
        <x:v>Clause 5.2; A.5.1</x:v>
      </x:c>
      <x:c r="F3" s="22" t="str">
        <x:v>Create an approved information security policy framework and supporting standards/procedures.</x:v>
      </x:c>
      <x:c r="G3" s="22" t="str">
        <x:v>High</x:v>
      </x:c>
      <x:c r="H3" s="23" t="str">
        <x:v>Open</x:v>
      </x:c>
    </x:row>
    <x:row r="4">
      <x:c r="A4" s="21" t="str">
        <x:v>G03</x:v>
      </x:c>
      <x:c r="B4" s="22" t="str">
        <x:v>Confirmed</x:v>
      </x:c>
      <x:c r="C4" s="22" t="str">
        <x:v>No formal information asset inventory</x:v>
      </x:c>
      <x:c r="D4" s="22" t="str">
        <x:v>Critical assets may not have ownership, classification or appropriate protection.</x:v>
      </x:c>
      <x:c r="E4" s="22" t="str">
        <x:v>A.5.9; A.5.12</x:v>
      </x:c>
      <x:c r="F4" s="22" t="str">
        <x:v>Create an asset inventory, assign owners and establish classification requirements.</x:v>
      </x:c>
      <x:c r="G4" s="22" t="str">
        <x:v>High</x:v>
      </x:c>
      <x:c r="H4" s="23" t="str">
        <x:v>Open</x:v>
      </x:c>
    </x:row>
    <x:row r="5">
      <x:c r="A5" s="21" t="str">
        <x:v>G04</x:v>
      </x:c>
      <x:c r="B5" s="22" t="str">
        <x:v>Confirmed</x:v>
      </x:c>
      <x:c r="C5" s="22" t="str">
        <x:v>Risk assessments are inconsistent</x:v>
      </x:c>
      <x:c r="D5" s="22" t="str">
        <x:v>Security risks may be evaluated differently or only after incidents occur.</x:v>
      </x:c>
      <x:c r="E5" s="22" t="str">
        <x:v>Clause 6.1.2</x:v>
      </x:c>
      <x:c r="F5" s="22" t="str">
        <x:v>Establish a repeatable risk methodology, criteria, risk register and review cadence.</x:v>
      </x:c>
      <x:c r="G5" s="22" t="str">
        <x:v>Critical</x:v>
      </x:c>
      <x:c r="H5" s="23" t="str">
        <x:v>Open</x:v>
      </x:c>
    </x:row>
    <x:row r="6">
      <x:c r="A6" s="21" t="str">
        <x:v>G05</x:v>
      </x:c>
      <x:c r="B6" s="22" t="str">
        <x:v>Confirmed</x:v>
      </x:c>
      <x:c r="C6" s="22" t="str">
        <x:v>Security controls have not been formally selected</x:v>
      </x:c>
      <x:c r="D6" s="22" t="str">
        <x:v>Risk treatment decisions cannot be consistently demonstrated or monitored.</x:v>
      </x:c>
      <x:c r="E6" s="22" t="str">
        <x:v>Clause 6.1.3</x:v>
      </x:c>
      <x:c r="F6" s="22" t="str">
        <x:v>Create risk treatment plans and map selected Annex A controls to identified risks.</x:v>
      </x:c>
      <x:c r="G6" s="22" t="str">
        <x:v>Critical</x:v>
      </x:c>
      <x:c r="H6" s="23" t="str">
        <x:v>Open</x:v>
      </x:c>
    </x:row>
    <x:row r="7">
      <x:c r="A7" s="21" t="str">
        <x:v>G06</x:v>
      </x:c>
      <x:c r="B7" s="22" t="str">
        <x:v>Confirmed</x:v>
      </x:c>
      <x:c r="C7" s="22" t="str">
        <x:v>No Statement of Applicability (SoA)</x:v>
      </x:c>
      <x:c r="D7" s="22" t="str">
        <x:v>NovaPay cannot clearly evidence why controls apply, do not apply, or their implementation status.</x:v>
      </x:c>
      <x:c r="E7" s="22" t="str">
        <x:v>Clause 6.1.3</x:v>
      </x:c>
      <x:c r="F7" s="22" t="str">
        <x:v>Develop, approve and maintain a selected-control SoA for the case study; validate the full Annex A set for formal certification work.</x:v>
      </x:c>
      <x:c r="G7" s="22" t="str">
        <x:v>Critical</x:v>
      </x:c>
      <x:c r="H7" s="23" t="str">
        <x:v>Open</x:v>
      </x:c>
    </x:row>
    <x:row r="8">
      <x:c r="A8" s="21" t="str">
        <x:v>G07</x:v>
      </x:c>
      <x:c r="B8" s="22" t="str">
        <x:v>Confirmed</x:v>
      </x:c>
      <x:c r="C8" s="22" t="str">
        <x:v>Security awareness training is irregular</x:v>
      </x:c>
      <x:c r="D8" s="22" t="str">
        <x:v>Staff may be more susceptible to phishing, social engineering and policy violations.</x:v>
      </x:c>
      <x:c r="E8" s="22" t="str">
        <x:v>A.6.3</x:v>
      </x:c>
      <x:c r="F8" s="22" t="str">
        <x:v>Implement mandatory onboarding and recurring awareness training with completion metrics.</x:v>
      </x:c>
      <x:c r="G8" s="22" t="str">
        <x:v>High</x:v>
      </x:c>
      <x:c r="H8" s="23" t="str">
        <x:v>Open</x:v>
      </x:c>
    </x:row>
    <x:row r="9">
      <x:c r="A9" s="21" t="str">
        <x:v>G08</x:v>
      </x:c>
      <x:c r="B9" s="22" t="str">
        <x:v>Confirmed</x:v>
      </x:c>
      <x:c r="C9" s="22" t="str">
        <x:v>Third-party security checks are inconsistent</x:v>
      </x:c>
      <x:c r="D9" s="22" t="str">
        <x:v>Suppliers may introduce unmanaged access, cloud, data-processing or availability risk.</x:v>
      </x:c>
      <x:c r="E9" s="22" t="str">
        <x:v>A.5.19-A.5.23</x:v>
      </x:c>
      <x:c r="F9" s="22" t="str">
        <x:v>Implement supplier due diligence, contract security clauses, risk tiering and periodic review.</x:v>
      </x:c>
      <x:c r="G9" s="22" t="str">
        <x:v>High</x:v>
      </x:c>
      <x:c r="H9" s="23" t="str">
        <x:v>Open</x:v>
      </x:c>
    </x:row>
    <x:row r="10">
      <x:c r="A10" s="21" t="str">
        <x:v>G09</x:v>
      </x:c>
      <x:c r="B10" s="22" t="str">
        <x:v>Confirmed from case scenario</x:v>
      </x:c>
      <x:c r="C10" s="22" t="str">
        <x:v>Security risk decisions are largely reactive</x:v>
      </x:c>
      <x:c r="D10" s="22" t="str">
        <x:v>Incident-driven decisions can lead to inconsistent risk acceptance and delayed remediation.</x:v>
      </x:c>
      <x:c r="E10" s="22" t="str">
        <x:v>Clauses 6.1, 8.1; A.5.24-A.5.27</x:v>
      </x:c>
      <x:c r="F10" s="22" t="str">
        <x:v>Establish proactive risk and incident governance with defined owners and escalation criteria.</x:v>
      </x:c>
      <x:c r="G10" s="22" t="str">
        <x:v>High</x:v>
      </x:c>
      <x:c r="H10" s="23" t="str">
        <x:v>Open</x:v>
      </x:c>
    </x:row>
    <x:row r="11">
      <x:c r="A11" s="21" t="str">
        <x:v>G10</x:v>
      </x:c>
      <x:c r="B11" s="22" t="str">
        <x:v>Evidence not provided</x:v>
      </x:c>
      <x:c r="C11" s="22" t="str">
        <x:v>Formal information security objectives and measures are not evidenced</x:v>
      </x:c>
      <x:c r="D11" s="22" t="str">
        <x:v>Without measurable objectives, management cannot determine whether the ISMS is improving.</x:v>
      </x:c>
      <x:c r="E11" s="22" t="str">
        <x:v>Clause 6.2; 9.1</x:v>
      </x:c>
      <x:c r="F11" s="22" t="str">
        <x:v>Set measurable security objectives, metrics, owners and review frequency.</x:v>
      </x:c>
      <x:c r="G11" s="22" t="str">
        <x:v>High</x:v>
      </x:c>
      <x:c r="H11" s="23" t="str">
        <x:v>To Be Assessed</x:v>
      </x:c>
    </x:row>
    <x:row r="12">
      <x:c r="A12" s="24" t="str">
        <x:v>G11</x:v>
      </x:c>
      <x:c r="B12" s="25" t="str">
        <x:v>Evidence not provided</x:v>
      </x:c>
      <x:c r="C12" s="25" t="str">
        <x:v>Internal audit and management-review evidence is not provided</x:v>
      </x:c>
      <x:c r="D12" s="25" t="str">
        <x:v>Certification readiness cannot be demonstrated without independent review and management oversight.</x:v>
      </x:c>
      <x:c r="E12" s="25" t="str">
        <x:v>Clauses 9.2 and 9.3</x:v>
      </x:c>
      <x:c r="F12" s="25" t="str">
        <x:v>Establish an internal audit programme and formal management review before certification assessment.</x:v>
      </x:c>
      <x:c r="G12" s="25" t="str">
        <x:v>Critical</x:v>
      </x:c>
      <x:c r="H12" s="26" t="str">
        <x:v>To Be Assessed</x:v>
      </x:c>
    </x:row>
  </x:sheetData>
  <x:dataValidations count="2">
    <x:dataValidation type="list" sqref="G2:G100">
      <x:formula1>"Low,Moderate,High,Critical"</x:formula1>
    </x:dataValidation>
    <x:dataValidation type="list" sqref="H2:H100">
      <x:formula1>"Open,In Progress,Closed,To Be Assessed"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8" t="str">
        <x:v>NovaPay Solutions Ltd. - ISO/IEC 27001 Gap Analysis</x:v>
      </x:c>
    </x:row>
    <x:row r="2" ht="30" customHeight="1">
      <x:c r="A2" s="44" t="str">
        <x:v>Current-state assessment based on confirmed case-study findings and explicit evidence limitations</x:v>
      </x:c>
    </x:row>
    <x:row r="4" ht="32" customHeight="1">
      <x:c r="A4" s="18" t="str">
        <x:v>Metric</x:v>
      </x:c>
      <x:c r="B4" s="20" t="str">
        <x:v>Value</x:v>
      </x:c>
      <x:c r="D4" s="6" t="str">
        <x:v>Portfolio Note</x:v>
      </x:c>
      <x:c r="E4" s="6"/>
      <x:c r="F4" s="6"/>
    </x:row>
    <x:row r="5">
      <x:c r="A5" s="21" t="str">
        <x:v>Total gaps</x:v>
      </x:c>
      <x:c r="B5" s="23" t="n">
        <x:f>COUNTA('Gap Analysis'!A2:A100)</x:f>
        <x:v>11</x:v>
      </x:c>
      <x:c r="D5" s="15" t="str">
        <x:v>Confirmed findings are separated from areas where evidence was not provided.
A missing document is treated as an evidence gap, not automatic proof that the underlying control does not exist.
ISO references are practical mappings for this portfolio case study.</x:v>
      </x:c>
    </x:row>
    <x:row r="6">
      <x:c r="A6" s="21" t="str">
        <x:v>Confirmed gaps</x:v>
      </x:c>
      <x:c r="B6" s="23" t="n">
        <x:f>COUNTIF('Gap Analysis'!B2:B100,"Confirmed")</x:f>
        <x:v>8</x:v>
      </x:c>
    </x:row>
    <x:row r="7">
      <x:c r="A7" s="21" t="str">
        <x:v>Critical priority</x:v>
      </x:c>
      <x:c r="B7" s="23" t="n">
        <x:f>COUNTIF('Gap Analysis'!G2:G100,"Critical")</x:f>
        <x:v>5</x:v>
      </x:c>
    </x:row>
    <x:row r="8">
      <x:c r="A8" s="24" t="str">
        <x:v>Open items</x:v>
      </x:c>
      <x:c r="B8" s="26" t="n">
        <x:f>COUNTIF('Gap Analysis'!H2:H100,"Open")</x:f>
        <x:v>9</x:v>
      </x:c>
    </x:row>
  </x:sheetData>
  <x:mergeCells>
    <x:mergeCell ref="A1:F1"/>
    <x:mergeCell ref="A2:F2"/>
    <x:mergeCell ref="D4:F4"/>
    <x:mergeCell ref="D5:F10"/>
  </x:mergeCells>
  <x:pageMargins left="0.7" right="0.7" top="0.75" bottom="0.75" header="0.3" footer="0.3"/>
</x:worksheet>
</file>