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439ce826f85c5ee/Documents/"/>
    </mc:Choice>
  </mc:AlternateContent>
  <xr:revisionPtr revIDLastSave="0" documentId="11_6E831F5DD6A990AF1F8F052043C5A81D15A519B6" xr6:coauthVersionLast="47" xr6:coauthVersionMax="47" xr10:uidLastSave="{00000000-0000-0000-0000-000000000000}"/>
  <bookViews>
    <workbookView xWindow="-110" yWindow="-110" windowWidth="19420" windowHeight="10300" xr2:uid="{00000000-000D-0000-FFFF-FFFF00000000}"/>
  </bookViews>
  <sheets>
    <sheet name="Risk Register"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c r="B5" i="2"/>
  <c r="U13" i="1"/>
  <c r="V13" i="1" s="1"/>
  <c r="N13" i="1"/>
  <c r="M13" i="1"/>
  <c r="H13" i="1"/>
  <c r="I13" i="1" s="1"/>
  <c r="V12" i="1"/>
  <c r="U12" i="1"/>
  <c r="M12" i="1"/>
  <c r="N12" i="1" s="1"/>
  <c r="H12" i="1"/>
  <c r="I12" i="1" s="1"/>
  <c r="U11" i="1"/>
  <c r="V11" i="1" s="1"/>
  <c r="M11" i="1"/>
  <c r="N11" i="1" s="1"/>
  <c r="H11" i="1"/>
  <c r="I11" i="1" s="1"/>
  <c r="U10" i="1"/>
  <c r="V10" i="1" s="1"/>
  <c r="M10" i="1"/>
  <c r="N10" i="1" s="1"/>
  <c r="H10" i="1"/>
  <c r="I10" i="1" s="1"/>
  <c r="U9" i="1"/>
  <c r="V9" i="1" s="1"/>
  <c r="M9" i="1"/>
  <c r="N9" i="1" s="1"/>
  <c r="H9" i="1"/>
  <c r="I9" i="1" s="1"/>
  <c r="U8" i="1"/>
  <c r="V8" i="1" s="1"/>
  <c r="M8" i="1"/>
  <c r="N8" i="1" s="1"/>
  <c r="H8" i="1"/>
  <c r="I8" i="1" s="1"/>
  <c r="U7" i="1"/>
  <c r="V7" i="1" s="1"/>
  <c r="M7" i="1"/>
  <c r="N7" i="1" s="1"/>
  <c r="H7" i="1"/>
  <c r="I7" i="1" s="1"/>
  <c r="U6" i="1"/>
  <c r="V6" i="1" s="1"/>
  <c r="M6" i="1"/>
  <c r="N6" i="1" s="1"/>
  <c r="H6" i="1"/>
  <c r="I6" i="1" s="1"/>
  <c r="U5" i="1"/>
  <c r="V5" i="1" s="1"/>
  <c r="M5" i="1"/>
  <c r="N5" i="1" s="1"/>
  <c r="H5" i="1"/>
  <c r="I5" i="1" s="1"/>
  <c r="U4" i="1"/>
  <c r="V4" i="1" s="1"/>
  <c r="M4" i="1"/>
  <c r="N4" i="1" s="1"/>
  <c r="H4" i="1"/>
  <c r="I4" i="1" s="1"/>
  <c r="U3" i="1"/>
  <c r="V3" i="1" s="1"/>
  <c r="M3" i="1"/>
  <c r="N3" i="1" s="1"/>
  <c r="H3" i="1"/>
  <c r="I3" i="1" s="1"/>
  <c r="U2" i="1"/>
  <c r="V2" i="1" s="1"/>
  <c r="B8" i="2" s="1"/>
  <c r="M2" i="1"/>
  <c r="N2" i="1" s="1"/>
  <c r="H2" i="1"/>
  <c r="I2" i="1" s="1"/>
  <c r="B7" i="2" l="1"/>
  <c r="B6" i="2"/>
</calcChain>
</file>

<file path=xl/sharedStrings.xml><?xml version="1.0" encoding="utf-8"?>
<sst xmlns="http://schemas.openxmlformats.org/spreadsheetml/2006/main" count="166" uniqueCount="138">
  <si>
    <t>Risk ID</t>
  </si>
  <si>
    <t>Asset / Process</t>
  </si>
  <si>
    <t>Risk Statement</t>
  </si>
  <si>
    <t>Threat / Event</t>
  </si>
  <si>
    <t>Vulnerability / Cause</t>
  </si>
  <si>
    <t>Inherent Likelihood</t>
  </si>
  <si>
    <t>Inherent Impact</t>
  </si>
  <si>
    <t>Inherent Score</t>
  </si>
  <si>
    <t>Inherent Rating</t>
  </si>
  <si>
    <t>Existing Control Evidence</t>
  </si>
  <si>
    <t>Current Residual Likelihood</t>
  </si>
  <si>
    <t>Current Residual Impact</t>
  </si>
  <si>
    <t>Current Residual Score</t>
  </si>
  <si>
    <t>Current Residual Rating</t>
  </si>
  <si>
    <t>Treatment</t>
  </si>
  <si>
    <t>Treatment Action</t>
  </si>
  <si>
    <t>Proposed Owner</t>
  </si>
  <si>
    <t>Target Timeline</t>
  </si>
  <si>
    <t>Target Likelihood</t>
  </si>
  <si>
    <t>Target Impact</t>
  </si>
  <si>
    <t>Target Residual Score</t>
  </si>
  <si>
    <t>Target Residual Rating</t>
  </si>
  <si>
    <t>Status</t>
  </si>
  <si>
    <t>R01</t>
  </si>
  <si>
    <t>Customer / Transaction Data</t>
  </si>
  <si>
    <t>Weak or inconsistently governed access could allow unauthorized access to customer or transaction information, causing confidentiality breach, fraud exposure and loss of trust.</t>
  </si>
  <si>
    <t>Unauthorized access / account misuse</t>
  </si>
  <si>
    <t>Incomplete access governance and unverified access-review effectiveness</t>
  </si>
  <si>
    <t>No verified control-effectiveness evidence provided in the case study.</t>
  </si>
  <si>
    <t>Mitigate</t>
  </si>
  <si>
    <t>Implement role-based access, identity lifecycle controls, secure authentication/MFA, periodic access reviews and security logging.</t>
  </si>
  <si>
    <t>IT/Security + Business Owners</t>
  </si>
  <si>
    <t>Months 2-4</t>
  </si>
  <si>
    <t>Open</t>
  </si>
  <si>
    <t>R02</t>
  </si>
  <si>
    <t>User Identities / Endpoints</t>
  </si>
  <si>
    <t>Irregular security awareness may enable phishing or social engineering, resulting in credential compromise and unauthorized system access.</t>
  </si>
  <si>
    <t>Phishing / social engineering</t>
  </si>
  <si>
    <t>Irregular security awareness training</t>
  </si>
  <si>
    <t>Training exists but is irregular; effectiveness evidence is not provided.</t>
  </si>
  <si>
    <t>Formalize awareness training, phishing education, event reporting and strong authentication.</t>
  </si>
  <si>
    <t>GRC/HR + IT</t>
  </si>
  <si>
    <t>Months 2-3</t>
  </si>
  <si>
    <t>R03</t>
  </si>
  <si>
    <t>Third-Party Services</t>
  </si>
  <si>
    <t>Inconsistent supplier security checks may allow a vulnerable or poorly controlled third party to compromise NovaPay information or services.</t>
  </si>
  <si>
    <t>Supplier compromise / service failure</t>
  </si>
  <si>
    <t>Inconsistent third-party security due diligence and monitoring</t>
  </si>
  <si>
    <t>Third-party checks occur but are inconsistent; no effectiveness evidence is provided.</t>
  </si>
  <si>
    <t>Mitigate / Share</t>
  </si>
  <si>
    <t>Tier suppliers by risk; perform due diligence; include security clauses; monitor critical suppliers and cloud services.</t>
  </si>
  <si>
    <t>GRC/Procurement/IT</t>
  </si>
  <si>
    <t>R04</t>
  </si>
  <si>
    <t>Information Assets</t>
  </si>
  <si>
    <t>Without a formal asset inventory, critical assets may be unmanaged, unowned or incorrectly protected, increasing the likelihood of loss or exposure.</t>
  </si>
  <si>
    <t>Asset loss / unmanaged exposure</t>
  </si>
  <si>
    <t>No formal asset inventory or validated ownership</t>
  </si>
  <si>
    <t>No formal asset inventory exists.</t>
  </si>
  <si>
    <t>Create asset inventory; assign owners; classify information; define acceptable-use and lifecycle requirements.</t>
  </si>
  <si>
    <t>IT/GRC + Asset Owners</t>
  </si>
  <si>
    <t>Weeks 2-6</t>
  </si>
  <si>
    <t>R05</t>
  </si>
  <si>
    <t>Payment Application / Source Code</t>
  </si>
  <si>
    <t>Inadequate secure-development governance may introduce exploitable defects or unauthorized code changes into the payment service.</t>
  </si>
  <si>
    <t>Application exploitation / unauthorized code change</t>
  </si>
  <si>
    <t>Secure SDLC and security-testing evidence not provided</t>
  </si>
  <si>
    <t>Current secure-development control evidence is not provided.</t>
  </si>
  <si>
    <t>Establish secure SDLC, application security requirements, secure coding, security testing and controlled changes.</t>
  </si>
  <si>
    <t>Engineering + Security</t>
  </si>
  <si>
    <t>R06</t>
  </si>
  <si>
    <t>Cloud Infrastructure</t>
  </si>
  <si>
    <t>Unmanaged cloud configuration or access could expose services/data or cause disruption.</t>
  </si>
  <si>
    <t>Cloud misconfiguration / unauthorized cloud access</t>
  </si>
  <si>
    <t>Cloud security responsibilities, baselines and review evidence not provided</t>
  </si>
  <si>
    <t>The case confirms cloud-based systems but not current cloud security controls.</t>
  </si>
  <si>
    <t>Establish cloud security responsibilities, configuration baselines, access controls and periodic review.</t>
  </si>
  <si>
    <t>Cloud/IT + Security</t>
  </si>
  <si>
    <t>R07</t>
  </si>
  <si>
    <t>Servers / Applications / Endpoints</t>
  </si>
  <si>
    <t>Technical vulnerabilities may remain exploitable if identification and remediation are not governed consistently.</t>
  </si>
  <si>
    <t>Exploitation of known vulnerabilities</t>
  </si>
  <si>
    <t>Formal vulnerability-management process and remediation SLA evidence not provided</t>
  </si>
  <si>
    <t>No verified vulnerability-management evidence is provided.</t>
  </si>
  <si>
    <t>Implement vulnerability scanning, risk-based remediation SLAs, exception handling and tracking.</t>
  </si>
  <si>
    <t>IT/Security</t>
  </si>
  <si>
    <t>R08</t>
  </si>
  <si>
    <t>Logs / Security Monitoring</t>
  </si>
  <si>
    <t>Insufficient logging or monitoring could delay detection of account misuse, attacks or transaction-related anomalies.</t>
  </si>
  <si>
    <t>Undetected malicious activity</t>
  </si>
  <si>
    <t>Logging standards and centralized monitoring evidence not provided</t>
  </si>
  <si>
    <t>No verified monitoring-control evidence is provided.</t>
  </si>
  <si>
    <t>Define logging standards, centralize security-relevant logs, alert on priority events and review monitoring effectiveness.</t>
  </si>
  <si>
    <t>Security/IT</t>
  </si>
  <si>
    <t>R09</t>
  </si>
  <si>
    <t>Incident Management</t>
  </si>
  <si>
    <t>Reactive security decision-making may lead to inconsistent incident assessment, escalation, containment and lessons learned.</t>
  </si>
  <si>
    <t>Delayed or inconsistent incident response</t>
  </si>
  <si>
    <t>Incident governance and tested response procedures not evidenced</t>
  </si>
  <si>
    <t>The case indicates reactive security decision-making; response effectiveness is not evidenced.</t>
  </si>
  <si>
    <t>Document incident roles, severity criteria, response procedures, evidence handling and lessons learned; run a tabletop exercise.</t>
  </si>
  <si>
    <t>Security/GRC/Management</t>
  </si>
  <si>
    <t>Months 2-5</t>
  </si>
  <si>
    <t>R10</t>
  </si>
  <si>
    <t>Payment Service Availability</t>
  </si>
  <si>
    <t>A technology, supplier or cyber disruption could make digital payment services unavailable and materially affect customers and operations.</t>
  </si>
  <si>
    <t>Cyberattack / technology outage / supplier outage</t>
  </si>
  <si>
    <t>Continuity, recovery objectives and tested recovery evidence not provided</t>
  </si>
  <si>
    <t>No verified continuity or recovery-test evidence is provided.</t>
  </si>
  <si>
    <t>Complete business impact analysis; define recovery objectives; test backups, continuity and supplier dependencies.</t>
  </si>
  <si>
    <t>Operations/IT/Management</t>
  </si>
  <si>
    <t>Months 3-5</t>
  </si>
  <si>
    <t>R11</t>
  </si>
  <si>
    <t>Personal Information / Records</t>
  </si>
  <si>
    <t>Failure to identify and meet applicable privacy, legal or contractual requirements could cause regulatory, contractual and reputational harm.</t>
  </si>
  <si>
    <t>Compliance failure / privacy incident</t>
  </si>
  <si>
    <t>Formal obligations register and control evidence not provided</t>
  </si>
  <si>
    <t>The portfolio scenario places NovaPay in Ireland. A formal obligations register covering applicable Irish and EU requirements, including GDPR where relevant, is not provided.</t>
  </si>
  <si>
    <t>Maintain obligations register; implement privacy/PII controls; retain evidence and periodically review compliance.</t>
  </si>
  <si>
    <t>GRC/Legal/Management</t>
  </si>
  <si>
    <t>R12</t>
  </si>
  <si>
    <t>Source Code / Privileged Access</t>
  </si>
  <si>
    <t>Excessive privileged or repository access could allow unauthorized disclosure or alteration of source code and production-related configurations.</t>
  </si>
  <si>
    <t>Privileged misuse / credential compromise</t>
  </si>
  <si>
    <t>Privileged and repository access review evidence not provided</t>
  </si>
  <si>
    <t>No verified privileged-access review evidence is provided.</t>
  </si>
  <si>
    <t>Restrict privileged and source-code access; review entitlements; protect repositories; log administrative actions.</t>
  </si>
  <si>
    <t>Engineering/IT/Security</t>
  </si>
  <si>
    <t>NovaPay Solutions Ltd. - Cybersecurity Risk Register</t>
  </si>
  <si>
    <t>5 x 5 qualitative risk model | Inherent, current residual and target residual risk</t>
  </si>
  <si>
    <t>Metric</t>
  </si>
  <si>
    <t>Value</t>
  </si>
  <si>
    <t>Portfolio Note</t>
  </si>
  <si>
    <t>Total risks</t>
  </si>
  <si>
    <t>Risk scores are educational estimates for the case study, not production loss data.
Where control effectiveness is not evidenced, current residual risk is conservatively kept equal to inherent risk.
Target residual risk is the desired level after planned treatment is implemented and tested.</t>
  </si>
  <si>
    <t>Critical inherent risks</t>
  </si>
  <si>
    <t>High inherent risks</t>
  </si>
  <si>
    <t>Target Moderate risks</t>
  </si>
  <si>
    <t>Open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</si>
</sst>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6"/>
      <color rgb="FFFFFFFF"/>
      <name val="Carlito"/>
    </font>
    <font>
      <i/>
      <sz val="11"/>
      <color rgb="FF203864"/>
      <name val="Carlito"/>
    </font>
  </fonts>
  <fills count="6">
    <fill>
      <patternFill patternType="none"/>
    </fill>
    <fill>
      <patternFill patternType="gray125"/>
    </fill>
    <fill>
      <patternFill patternType="solid">
        <fgColor rgb="FF1F4E78"/>
      </patternFill>
    </fill>
    <fill>
      <patternFill patternType="solid">
        <fgColor rgb="FFF3F6FA"/>
      </patternFill>
    </fill>
    <fill>
      <patternFill patternType="solid">
        <fgColor rgb="FF17365D"/>
      </patternFill>
    </fill>
    <fill>
      <patternFill patternType="solid">
        <fgColor rgb="FFD9EAF7"/>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1" fillId="3" borderId="2" xfId="0" applyFont="1" applyFill="1" applyBorder="1" applyAlignment="1">
      <alignment horizontal="center" vertical="top" wrapText="1"/>
    </xf>
    <xf numFmtId="0" fontId="0" fillId="3" borderId="5" xfId="0" applyFill="1" applyBorder="1" applyAlignment="1">
      <alignment vertical="top" wrapText="1"/>
    </xf>
    <xf numFmtId="0" fontId="0" fillId="3" borderId="8" xfId="0" applyFill="1" applyBorder="1" applyAlignment="1">
      <alignment vertical="top" wrapText="1"/>
    </xf>
    <xf numFmtId="0" fontId="0" fillId="0" borderId="1" xfId="0" applyBorder="1" applyAlignment="1">
      <alignment vertical="top" wrapText="1"/>
    </xf>
    <xf numFmtId="0" fontId="2" fillId="4" borderId="0" xfId="0" applyFont="1" applyFill="1" applyAlignment="1">
      <alignment vertical="center"/>
    </xf>
    <xf numFmtId="0" fontId="0" fillId="0" borderId="0" xfId="0"/>
    <xf numFmtId="0" fontId="3" fillId="5" borderId="0" xfId="0" applyFont="1" applyFill="1" applyAlignment="1">
      <alignment wrapText="1"/>
    </xf>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
  <sheetViews>
    <sheetView tabSelected="1" workbookViewId="0"/>
  </sheetViews>
  <sheetFormatPr defaultRowHeight="14"/>
  <cols>
    <col min="1" max="1" width="9" customWidth="1"/>
    <col min="2" max="2" width="24" customWidth="1"/>
    <col min="3" max="3" width="52" customWidth="1"/>
    <col min="4" max="4" width="26" customWidth="1"/>
    <col min="5" max="5" width="34" customWidth="1"/>
    <col min="6" max="8" width="12" customWidth="1"/>
    <col min="9" max="9" width="14" customWidth="1"/>
    <col min="10" max="10" width="44" customWidth="1"/>
    <col min="11" max="12" width="14" customWidth="1"/>
    <col min="13" max="13" width="12" customWidth="1"/>
    <col min="14" max="14" width="14" customWidth="1"/>
    <col min="15" max="15" width="18" customWidth="1"/>
    <col min="16" max="16" width="52" customWidth="1"/>
    <col min="17" max="17" width="28" customWidth="1"/>
    <col min="18" max="18" width="16" customWidth="1"/>
    <col min="19" max="21" width="12" customWidth="1"/>
    <col min="22" max="23" width="14" customWidth="1"/>
  </cols>
  <sheetData>
    <row r="1" spans="1:23" ht="21.4" customHeight="1">
      <c r="A1" s="1" t="s">
        <v>0</v>
      </c>
      <c r="B1" s="2" t="s">
        <v>1</v>
      </c>
      <c r="C1" s="2" t="s">
        <v>2</v>
      </c>
      <c r="D1" s="2" t="s">
        <v>3</v>
      </c>
      <c r="E1" s="2" t="s">
        <v>4</v>
      </c>
      <c r="F1" s="2" t="s">
        <v>5</v>
      </c>
      <c r="G1" s="2" t="s">
        <v>6</v>
      </c>
      <c r="H1" s="10" t="s">
        <v>7</v>
      </c>
      <c r="I1" s="10" t="s">
        <v>8</v>
      </c>
      <c r="J1" s="2" t="s">
        <v>9</v>
      </c>
      <c r="K1" s="2" t="s">
        <v>10</v>
      </c>
      <c r="L1" s="2" t="s">
        <v>11</v>
      </c>
      <c r="M1" s="10" t="s">
        <v>12</v>
      </c>
      <c r="N1" s="10" t="s">
        <v>13</v>
      </c>
      <c r="O1" s="2" t="s">
        <v>14</v>
      </c>
      <c r="P1" s="2" t="s">
        <v>15</v>
      </c>
      <c r="Q1" s="2" t="s">
        <v>16</v>
      </c>
      <c r="R1" s="2" t="s">
        <v>17</v>
      </c>
      <c r="S1" s="2" t="s">
        <v>18</v>
      </c>
      <c r="T1" s="2" t="s">
        <v>19</v>
      </c>
      <c r="U1" s="10" t="s">
        <v>20</v>
      </c>
      <c r="V1" s="10" t="s">
        <v>21</v>
      </c>
      <c r="W1" s="3" t="s">
        <v>22</v>
      </c>
    </row>
    <row r="2" spans="1:23" ht="42">
      <c r="A2" s="4" t="s">
        <v>23</v>
      </c>
      <c r="B2" s="5" t="s">
        <v>24</v>
      </c>
      <c r="C2" s="5" t="s">
        <v>25</v>
      </c>
      <c r="D2" s="5" t="s">
        <v>26</v>
      </c>
      <c r="E2" s="5" t="s">
        <v>27</v>
      </c>
      <c r="F2" s="5">
        <v>4</v>
      </c>
      <c r="G2" s="5">
        <v>5</v>
      </c>
      <c r="H2" s="11">
        <f t="shared" ref="H2:H13" si="0">F2*G2</f>
        <v>20</v>
      </c>
      <c r="I2" s="11" t="str">
        <f t="shared" ref="I2:I13" si="1">IF(H2&lt;=4,"Low",IF(H2&lt;=9,"Moderate",IF(H2&lt;=14,"High","Critical")))</f>
        <v>Critical</v>
      </c>
      <c r="J2" s="5" t="s">
        <v>28</v>
      </c>
      <c r="K2" s="5">
        <v>4</v>
      </c>
      <c r="L2" s="5">
        <v>5</v>
      </c>
      <c r="M2" s="11">
        <f t="shared" ref="M2:M13" si="2">K2*L2</f>
        <v>20</v>
      </c>
      <c r="N2" s="11" t="str">
        <f t="shared" ref="N2:N13" si="3">IF(M2&lt;=4,"Low",IF(M2&lt;=9,"Moderate",IF(M2&lt;=14,"High","Critical")))</f>
        <v>Critical</v>
      </c>
      <c r="O2" s="5" t="s">
        <v>29</v>
      </c>
      <c r="P2" s="5" t="s">
        <v>30</v>
      </c>
      <c r="Q2" s="5" t="s">
        <v>31</v>
      </c>
      <c r="R2" s="5" t="s">
        <v>32</v>
      </c>
      <c r="S2" s="5">
        <v>2</v>
      </c>
      <c r="T2" s="5">
        <v>5</v>
      </c>
      <c r="U2" s="11">
        <f t="shared" ref="U2:U13" si="4">S2*T2</f>
        <v>10</v>
      </c>
      <c r="V2" s="11" t="str">
        <f t="shared" ref="V2:V13" si="5">IF(U2&lt;=4,"Low",IF(U2&lt;=9,"Moderate",IF(U2&lt;=14,"High","Critical")))</f>
        <v>High</v>
      </c>
      <c r="W2" s="6" t="s">
        <v>33</v>
      </c>
    </row>
    <row r="3" spans="1:23" ht="42">
      <c r="A3" s="4" t="s">
        <v>34</v>
      </c>
      <c r="B3" s="5" t="s">
        <v>35</v>
      </c>
      <c r="C3" s="5" t="s">
        <v>36</v>
      </c>
      <c r="D3" s="5" t="s">
        <v>37</v>
      </c>
      <c r="E3" s="5" t="s">
        <v>38</v>
      </c>
      <c r="F3" s="5">
        <v>4</v>
      </c>
      <c r="G3" s="5">
        <v>4</v>
      </c>
      <c r="H3" s="11">
        <f t="shared" si="0"/>
        <v>16</v>
      </c>
      <c r="I3" s="11" t="str">
        <f t="shared" si="1"/>
        <v>Critical</v>
      </c>
      <c r="J3" s="5" t="s">
        <v>39</v>
      </c>
      <c r="K3" s="5">
        <v>4</v>
      </c>
      <c r="L3" s="5">
        <v>4</v>
      </c>
      <c r="M3" s="11">
        <f t="shared" si="2"/>
        <v>16</v>
      </c>
      <c r="N3" s="11" t="str">
        <f t="shared" si="3"/>
        <v>Critical</v>
      </c>
      <c r="O3" s="5" t="s">
        <v>29</v>
      </c>
      <c r="P3" s="5" t="s">
        <v>40</v>
      </c>
      <c r="Q3" s="5" t="s">
        <v>41</v>
      </c>
      <c r="R3" s="5" t="s">
        <v>42</v>
      </c>
      <c r="S3" s="5">
        <v>2</v>
      </c>
      <c r="T3" s="5">
        <v>4</v>
      </c>
      <c r="U3" s="11">
        <f t="shared" si="4"/>
        <v>8</v>
      </c>
      <c r="V3" s="11" t="str">
        <f t="shared" si="5"/>
        <v>Moderate</v>
      </c>
      <c r="W3" s="6" t="s">
        <v>33</v>
      </c>
    </row>
    <row r="4" spans="1:23" ht="42">
      <c r="A4" s="4" t="s">
        <v>43</v>
      </c>
      <c r="B4" s="5" t="s">
        <v>44</v>
      </c>
      <c r="C4" s="5" t="s">
        <v>45</v>
      </c>
      <c r="D4" s="5" t="s">
        <v>46</v>
      </c>
      <c r="E4" s="5" t="s">
        <v>47</v>
      </c>
      <c r="F4" s="5">
        <v>3</v>
      </c>
      <c r="G4" s="5">
        <v>5</v>
      </c>
      <c r="H4" s="11">
        <f t="shared" si="0"/>
        <v>15</v>
      </c>
      <c r="I4" s="11" t="str">
        <f t="shared" si="1"/>
        <v>Critical</v>
      </c>
      <c r="J4" s="5" t="s">
        <v>48</v>
      </c>
      <c r="K4" s="5">
        <v>3</v>
      </c>
      <c r="L4" s="5">
        <v>5</v>
      </c>
      <c r="M4" s="11">
        <f t="shared" si="2"/>
        <v>15</v>
      </c>
      <c r="N4" s="11" t="str">
        <f t="shared" si="3"/>
        <v>Critical</v>
      </c>
      <c r="O4" s="5" t="s">
        <v>49</v>
      </c>
      <c r="P4" s="5" t="s">
        <v>50</v>
      </c>
      <c r="Q4" s="5" t="s">
        <v>51</v>
      </c>
      <c r="R4" s="5" t="s">
        <v>32</v>
      </c>
      <c r="S4" s="5">
        <v>2</v>
      </c>
      <c r="T4" s="5">
        <v>5</v>
      </c>
      <c r="U4" s="11">
        <f t="shared" si="4"/>
        <v>10</v>
      </c>
      <c r="V4" s="11" t="str">
        <f t="shared" si="5"/>
        <v>High</v>
      </c>
      <c r="W4" s="6" t="s">
        <v>33</v>
      </c>
    </row>
    <row r="5" spans="1:23" ht="42">
      <c r="A5" s="4" t="s">
        <v>52</v>
      </c>
      <c r="B5" s="5" t="s">
        <v>53</v>
      </c>
      <c r="C5" s="5" t="s">
        <v>54</v>
      </c>
      <c r="D5" s="5" t="s">
        <v>55</v>
      </c>
      <c r="E5" s="5" t="s">
        <v>56</v>
      </c>
      <c r="F5" s="5">
        <v>3</v>
      </c>
      <c r="G5" s="5">
        <v>4</v>
      </c>
      <c r="H5" s="11">
        <f t="shared" si="0"/>
        <v>12</v>
      </c>
      <c r="I5" s="11" t="str">
        <f t="shared" si="1"/>
        <v>High</v>
      </c>
      <c r="J5" s="5" t="s">
        <v>57</v>
      </c>
      <c r="K5" s="5">
        <v>3</v>
      </c>
      <c r="L5" s="5">
        <v>4</v>
      </c>
      <c r="M5" s="11">
        <f t="shared" si="2"/>
        <v>12</v>
      </c>
      <c r="N5" s="11" t="str">
        <f t="shared" si="3"/>
        <v>High</v>
      </c>
      <c r="O5" s="5" t="s">
        <v>29</v>
      </c>
      <c r="P5" s="5" t="s">
        <v>58</v>
      </c>
      <c r="Q5" s="5" t="s">
        <v>59</v>
      </c>
      <c r="R5" s="5" t="s">
        <v>60</v>
      </c>
      <c r="S5" s="5">
        <v>2</v>
      </c>
      <c r="T5" s="5">
        <v>4</v>
      </c>
      <c r="U5" s="11">
        <f t="shared" si="4"/>
        <v>8</v>
      </c>
      <c r="V5" s="11" t="str">
        <f t="shared" si="5"/>
        <v>Moderate</v>
      </c>
      <c r="W5" s="6" t="s">
        <v>33</v>
      </c>
    </row>
    <row r="6" spans="1:23" ht="42">
      <c r="A6" s="4" t="s">
        <v>61</v>
      </c>
      <c r="B6" s="5" t="s">
        <v>62</v>
      </c>
      <c r="C6" s="5" t="s">
        <v>63</v>
      </c>
      <c r="D6" s="5" t="s">
        <v>64</v>
      </c>
      <c r="E6" s="5" t="s">
        <v>65</v>
      </c>
      <c r="F6" s="5">
        <v>3</v>
      </c>
      <c r="G6" s="5">
        <v>5</v>
      </c>
      <c r="H6" s="11">
        <f t="shared" si="0"/>
        <v>15</v>
      </c>
      <c r="I6" s="11" t="str">
        <f t="shared" si="1"/>
        <v>Critical</v>
      </c>
      <c r="J6" s="5" t="s">
        <v>66</v>
      </c>
      <c r="K6" s="5">
        <v>3</v>
      </c>
      <c r="L6" s="5">
        <v>5</v>
      </c>
      <c r="M6" s="11">
        <f t="shared" si="2"/>
        <v>15</v>
      </c>
      <c r="N6" s="11" t="str">
        <f t="shared" si="3"/>
        <v>Critical</v>
      </c>
      <c r="O6" s="5" t="s">
        <v>29</v>
      </c>
      <c r="P6" s="5" t="s">
        <v>67</v>
      </c>
      <c r="Q6" s="5" t="s">
        <v>68</v>
      </c>
      <c r="R6" s="5" t="s">
        <v>32</v>
      </c>
      <c r="S6" s="5">
        <v>2</v>
      </c>
      <c r="T6" s="5">
        <v>5</v>
      </c>
      <c r="U6" s="11">
        <f t="shared" si="4"/>
        <v>10</v>
      </c>
      <c r="V6" s="11" t="str">
        <f t="shared" si="5"/>
        <v>High</v>
      </c>
      <c r="W6" s="6" t="s">
        <v>33</v>
      </c>
    </row>
    <row r="7" spans="1:23" ht="28">
      <c r="A7" s="4" t="s">
        <v>69</v>
      </c>
      <c r="B7" s="5" t="s">
        <v>70</v>
      </c>
      <c r="C7" s="5" t="s">
        <v>71</v>
      </c>
      <c r="D7" s="5" t="s">
        <v>72</v>
      </c>
      <c r="E7" s="5" t="s">
        <v>73</v>
      </c>
      <c r="F7" s="5">
        <v>3</v>
      </c>
      <c r="G7" s="5">
        <v>4</v>
      </c>
      <c r="H7" s="11">
        <f t="shared" si="0"/>
        <v>12</v>
      </c>
      <c r="I7" s="11" t="str">
        <f t="shared" si="1"/>
        <v>High</v>
      </c>
      <c r="J7" s="5" t="s">
        <v>74</v>
      </c>
      <c r="K7" s="5">
        <v>3</v>
      </c>
      <c r="L7" s="5">
        <v>4</v>
      </c>
      <c r="M7" s="11">
        <f t="shared" si="2"/>
        <v>12</v>
      </c>
      <c r="N7" s="11" t="str">
        <f t="shared" si="3"/>
        <v>High</v>
      </c>
      <c r="O7" s="5" t="s">
        <v>29</v>
      </c>
      <c r="P7" s="5" t="s">
        <v>75</v>
      </c>
      <c r="Q7" s="5" t="s">
        <v>76</v>
      </c>
      <c r="R7" s="5" t="s">
        <v>32</v>
      </c>
      <c r="S7" s="5">
        <v>2</v>
      </c>
      <c r="T7" s="5">
        <v>4</v>
      </c>
      <c r="U7" s="11">
        <f t="shared" si="4"/>
        <v>8</v>
      </c>
      <c r="V7" s="11" t="str">
        <f t="shared" si="5"/>
        <v>Moderate</v>
      </c>
      <c r="W7" s="6" t="s">
        <v>33</v>
      </c>
    </row>
    <row r="8" spans="1:23" ht="42">
      <c r="A8" s="4" t="s">
        <v>77</v>
      </c>
      <c r="B8" s="5" t="s">
        <v>78</v>
      </c>
      <c r="C8" s="5" t="s">
        <v>79</v>
      </c>
      <c r="D8" s="5" t="s">
        <v>80</v>
      </c>
      <c r="E8" s="5" t="s">
        <v>81</v>
      </c>
      <c r="F8" s="5">
        <v>3</v>
      </c>
      <c r="G8" s="5">
        <v>4</v>
      </c>
      <c r="H8" s="11">
        <f t="shared" si="0"/>
        <v>12</v>
      </c>
      <c r="I8" s="11" t="str">
        <f t="shared" si="1"/>
        <v>High</v>
      </c>
      <c r="J8" s="5" t="s">
        <v>82</v>
      </c>
      <c r="K8" s="5">
        <v>3</v>
      </c>
      <c r="L8" s="5">
        <v>4</v>
      </c>
      <c r="M8" s="11">
        <f t="shared" si="2"/>
        <v>12</v>
      </c>
      <c r="N8" s="11" t="str">
        <f t="shared" si="3"/>
        <v>High</v>
      </c>
      <c r="O8" s="5" t="s">
        <v>29</v>
      </c>
      <c r="P8" s="5" t="s">
        <v>83</v>
      </c>
      <c r="Q8" s="5" t="s">
        <v>84</v>
      </c>
      <c r="R8" s="5" t="s">
        <v>32</v>
      </c>
      <c r="S8" s="5">
        <v>2</v>
      </c>
      <c r="T8" s="5">
        <v>4</v>
      </c>
      <c r="U8" s="11">
        <f t="shared" si="4"/>
        <v>8</v>
      </c>
      <c r="V8" s="11" t="str">
        <f t="shared" si="5"/>
        <v>Moderate</v>
      </c>
      <c r="W8" s="6" t="s">
        <v>33</v>
      </c>
    </row>
    <row r="9" spans="1:23" ht="28">
      <c r="A9" s="4" t="s">
        <v>85</v>
      </c>
      <c r="B9" s="5" t="s">
        <v>86</v>
      </c>
      <c r="C9" s="5" t="s">
        <v>87</v>
      </c>
      <c r="D9" s="5" t="s">
        <v>88</v>
      </c>
      <c r="E9" s="5" t="s">
        <v>89</v>
      </c>
      <c r="F9" s="5">
        <v>3</v>
      </c>
      <c r="G9" s="5">
        <v>4</v>
      </c>
      <c r="H9" s="11">
        <f t="shared" si="0"/>
        <v>12</v>
      </c>
      <c r="I9" s="11" t="str">
        <f t="shared" si="1"/>
        <v>High</v>
      </c>
      <c r="J9" s="5" t="s">
        <v>90</v>
      </c>
      <c r="K9" s="5">
        <v>3</v>
      </c>
      <c r="L9" s="5">
        <v>4</v>
      </c>
      <c r="M9" s="11">
        <f t="shared" si="2"/>
        <v>12</v>
      </c>
      <c r="N9" s="11" t="str">
        <f t="shared" si="3"/>
        <v>High</v>
      </c>
      <c r="O9" s="5" t="s">
        <v>29</v>
      </c>
      <c r="P9" s="5" t="s">
        <v>91</v>
      </c>
      <c r="Q9" s="5" t="s">
        <v>92</v>
      </c>
      <c r="R9" s="5" t="s">
        <v>32</v>
      </c>
      <c r="S9" s="5">
        <v>2</v>
      </c>
      <c r="T9" s="5">
        <v>4</v>
      </c>
      <c r="U9" s="11">
        <f t="shared" si="4"/>
        <v>8</v>
      </c>
      <c r="V9" s="11" t="str">
        <f t="shared" si="5"/>
        <v>Moderate</v>
      </c>
      <c r="W9" s="6" t="s">
        <v>33</v>
      </c>
    </row>
    <row r="10" spans="1:23" ht="42">
      <c r="A10" s="4" t="s">
        <v>93</v>
      </c>
      <c r="B10" s="5" t="s">
        <v>94</v>
      </c>
      <c r="C10" s="5" t="s">
        <v>95</v>
      </c>
      <c r="D10" s="5" t="s">
        <v>96</v>
      </c>
      <c r="E10" s="5" t="s">
        <v>97</v>
      </c>
      <c r="F10" s="5">
        <v>3</v>
      </c>
      <c r="G10" s="5">
        <v>4</v>
      </c>
      <c r="H10" s="11">
        <f t="shared" si="0"/>
        <v>12</v>
      </c>
      <c r="I10" s="11" t="str">
        <f t="shared" si="1"/>
        <v>High</v>
      </c>
      <c r="J10" s="5" t="s">
        <v>98</v>
      </c>
      <c r="K10" s="5">
        <v>3</v>
      </c>
      <c r="L10" s="5">
        <v>4</v>
      </c>
      <c r="M10" s="11">
        <f t="shared" si="2"/>
        <v>12</v>
      </c>
      <c r="N10" s="11" t="str">
        <f t="shared" si="3"/>
        <v>High</v>
      </c>
      <c r="O10" s="5" t="s">
        <v>29</v>
      </c>
      <c r="P10" s="5" t="s">
        <v>99</v>
      </c>
      <c r="Q10" s="5" t="s">
        <v>100</v>
      </c>
      <c r="R10" s="5" t="s">
        <v>101</v>
      </c>
      <c r="S10" s="5">
        <v>2</v>
      </c>
      <c r="T10" s="5">
        <v>4</v>
      </c>
      <c r="U10" s="11">
        <f t="shared" si="4"/>
        <v>8</v>
      </c>
      <c r="V10" s="11" t="str">
        <f t="shared" si="5"/>
        <v>Moderate</v>
      </c>
      <c r="W10" s="6" t="s">
        <v>33</v>
      </c>
    </row>
    <row r="11" spans="1:23" ht="42">
      <c r="A11" s="4" t="s">
        <v>102</v>
      </c>
      <c r="B11" s="5" t="s">
        <v>103</v>
      </c>
      <c r="C11" s="5" t="s">
        <v>104</v>
      </c>
      <c r="D11" s="5" t="s">
        <v>105</v>
      </c>
      <c r="E11" s="5" t="s">
        <v>106</v>
      </c>
      <c r="F11" s="5">
        <v>3</v>
      </c>
      <c r="G11" s="5">
        <v>5</v>
      </c>
      <c r="H11" s="11">
        <f t="shared" si="0"/>
        <v>15</v>
      </c>
      <c r="I11" s="11" t="str">
        <f t="shared" si="1"/>
        <v>Critical</v>
      </c>
      <c r="J11" s="5" t="s">
        <v>107</v>
      </c>
      <c r="K11" s="5">
        <v>3</v>
      </c>
      <c r="L11" s="5">
        <v>5</v>
      </c>
      <c r="M11" s="11">
        <f t="shared" si="2"/>
        <v>15</v>
      </c>
      <c r="N11" s="11" t="str">
        <f t="shared" si="3"/>
        <v>Critical</v>
      </c>
      <c r="O11" s="5" t="s">
        <v>49</v>
      </c>
      <c r="P11" s="5" t="s">
        <v>108</v>
      </c>
      <c r="Q11" s="5" t="s">
        <v>109</v>
      </c>
      <c r="R11" s="5" t="s">
        <v>110</v>
      </c>
      <c r="S11" s="5">
        <v>2</v>
      </c>
      <c r="T11" s="5">
        <v>5</v>
      </c>
      <c r="U11" s="11">
        <f t="shared" si="4"/>
        <v>10</v>
      </c>
      <c r="V11" s="11" t="str">
        <f t="shared" si="5"/>
        <v>High</v>
      </c>
      <c r="W11" s="6" t="s">
        <v>33</v>
      </c>
    </row>
    <row r="12" spans="1:23" ht="56">
      <c r="A12" s="4" t="s">
        <v>111</v>
      </c>
      <c r="B12" s="5" t="s">
        <v>112</v>
      </c>
      <c r="C12" s="5" t="s">
        <v>113</v>
      </c>
      <c r="D12" s="5" t="s">
        <v>114</v>
      </c>
      <c r="E12" s="5" t="s">
        <v>115</v>
      </c>
      <c r="F12" s="5">
        <v>3</v>
      </c>
      <c r="G12" s="5">
        <v>5</v>
      </c>
      <c r="H12" s="11">
        <f t="shared" si="0"/>
        <v>15</v>
      </c>
      <c r="I12" s="11" t="str">
        <f t="shared" si="1"/>
        <v>Critical</v>
      </c>
      <c r="J12" s="13" t="s">
        <v>116</v>
      </c>
      <c r="K12" s="5">
        <v>3</v>
      </c>
      <c r="L12" s="5">
        <v>5</v>
      </c>
      <c r="M12" s="11">
        <f t="shared" si="2"/>
        <v>15</v>
      </c>
      <c r="N12" s="11" t="str">
        <f t="shared" si="3"/>
        <v>Critical</v>
      </c>
      <c r="O12" s="5" t="s">
        <v>29</v>
      </c>
      <c r="P12" s="5" t="s">
        <v>117</v>
      </c>
      <c r="Q12" s="5" t="s">
        <v>118</v>
      </c>
      <c r="R12" s="5" t="s">
        <v>101</v>
      </c>
      <c r="S12" s="5">
        <v>2</v>
      </c>
      <c r="T12" s="5">
        <v>5</v>
      </c>
      <c r="U12" s="11">
        <f t="shared" si="4"/>
        <v>10</v>
      </c>
      <c r="V12" s="11" t="str">
        <f t="shared" si="5"/>
        <v>High</v>
      </c>
      <c r="W12" s="6" t="s">
        <v>33</v>
      </c>
    </row>
    <row r="13" spans="1:23" ht="42">
      <c r="A13" s="7" t="s">
        <v>119</v>
      </c>
      <c r="B13" s="8" t="s">
        <v>120</v>
      </c>
      <c r="C13" s="8" t="s">
        <v>121</v>
      </c>
      <c r="D13" s="8" t="s">
        <v>122</v>
      </c>
      <c r="E13" s="8" t="s">
        <v>123</v>
      </c>
      <c r="F13" s="8">
        <v>2</v>
      </c>
      <c r="G13" s="8">
        <v>5</v>
      </c>
      <c r="H13" s="12">
        <f t="shared" si="0"/>
        <v>10</v>
      </c>
      <c r="I13" s="12" t="str">
        <f t="shared" si="1"/>
        <v>High</v>
      </c>
      <c r="J13" s="8" t="s">
        <v>124</v>
      </c>
      <c r="K13" s="8">
        <v>2</v>
      </c>
      <c r="L13" s="8">
        <v>5</v>
      </c>
      <c r="M13" s="12">
        <f t="shared" si="2"/>
        <v>10</v>
      </c>
      <c r="N13" s="12" t="str">
        <f t="shared" si="3"/>
        <v>High</v>
      </c>
      <c r="O13" s="8" t="s">
        <v>29</v>
      </c>
      <c r="P13" s="8" t="s">
        <v>125</v>
      </c>
      <c r="Q13" s="8" t="s">
        <v>126</v>
      </c>
      <c r="R13" s="8" t="s">
        <v>32</v>
      </c>
      <c r="S13" s="8">
        <v>1</v>
      </c>
      <c r="T13" s="8">
        <v>5</v>
      </c>
      <c r="U13" s="12">
        <f t="shared" si="4"/>
        <v>5</v>
      </c>
      <c r="V13" s="12" t="str">
        <f t="shared" si="5"/>
        <v>Moderate</v>
      </c>
      <c r="W13" s="9" t="s">
        <v>33</v>
      </c>
    </row>
  </sheetData>
  <dataValidations count="3">
    <dataValidation type="list" sqref="F2:G100 S2:T100 K2:L100" xr:uid="{00000000-0002-0000-0000-000000000000}">
      <formula1>"1,2,3,4,5"</formula1>
    </dataValidation>
    <dataValidation type="list" sqref="O2:O100" xr:uid="{00000000-0002-0000-0000-000003000000}">
      <formula1>"Mitigate,Avoid,Share / Transfer,Accept,Mitigate / Share"</formula1>
    </dataValidation>
    <dataValidation type="list" sqref="W2:W100" xr:uid="{00000000-0002-0000-0000-000004000000}">
      <formula1>"Open,In Progress,Risk Accepted,Closed"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selection sqref="A1:F1"/>
    </sheetView>
  </sheetViews>
  <sheetFormatPr defaultRowHeight="14"/>
  <cols>
    <col min="1" max="1" width="30" customWidth="1"/>
    <col min="2" max="2" width="18" customWidth="1"/>
    <col min="4" max="6" width="18" customWidth="1"/>
  </cols>
  <sheetData>
    <row r="1" spans="1:6" ht="18.649999999999999" customHeight="1">
      <c r="A1" s="14" t="s">
        <v>127</v>
      </c>
      <c r="B1" s="15"/>
      <c r="C1" s="15"/>
      <c r="D1" s="15"/>
      <c r="E1" s="15"/>
      <c r="F1" s="15"/>
    </row>
    <row r="2" spans="1:6" ht="20" customHeight="1">
      <c r="A2" s="16" t="s">
        <v>128</v>
      </c>
      <c r="B2" s="15"/>
      <c r="C2" s="15"/>
      <c r="D2" s="15"/>
      <c r="E2" s="15"/>
      <c r="F2" s="15"/>
    </row>
    <row r="4" spans="1:6" ht="21.4" customHeight="1">
      <c r="A4" s="1" t="s">
        <v>129</v>
      </c>
      <c r="B4" s="3" t="s">
        <v>130</v>
      </c>
      <c r="D4" s="17" t="s">
        <v>131</v>
      </c>
      <c r="E4" s="17"/>
      <c r="F4" s="17"/>
    </row>
    <row r="5" spans="1:6">
      <c r="A5" s="4" t="s">
        <v>132</v>
      </c>
      <c r="B5" s="6">
        <f>COUNTA('Risk Register'!A2:A100)</f>
        <v>12</v>
      </c>
      <c r="D5" s="18" t="s">
        <v>133</v>
      </c>
      <c r="E5" s="15"/>
      <c r="F5" s="15"/>
    </row>
    <row r="6" spans="1:6">
      <c r="A6" s="4" t="s">
        <v>134</v>
      </c>
      <c r="B6" s="6">
        <f>COUNTIF('Risk Register'!I2:I100,"Critical")</f>
        <v>6</v>
      </c>
      <c r="D6" s="15"/>
      <c r="E6" s="15"/>
      <c r="F6" s="15"/>
    </row>
    <row r="7" spans="1:6">
      <c r="A7" s="4" t="s">
        <v>135</v>
      </c>
      <c r="B7" s="6">
        <f>COUNTIF('Risk Register'!I2:I100,"High")</f>
        <v>6</v>
      </c>
      <c r="D7" s="15"/>
      <c r="E7" s="15"/>
      <c r="F7" s="15"/>
    </row>
    <row r="8" spans="1:6">
      <c r="A8" s="4" t="s">
        <v>136</v>
      </c>
      <c r="B8" s="6">
        <f>COUNTIF('Risk Register'!V2:V100,"Moderate")</f>
        <v>7</v>
      </c>
      <c r="D8" s="15"/>
      <c r="E8" s="15"/>
      <c r="F8" s="15"/>
    </row>
    <row r="9" spans="1:6">
      <c r="A9" s="7" t="s">
        <v>137</v>
      </c>
      <c r="B9" s="9">
        <f>COUNTIF('Risk Register'!W2:W100,"Open")</f>
        <v>12</v>
      </c>
      <c r="D9" s="15"/>
      <c r="E9" s="15"/>
      <c r="F9" s="15"/>
    </row>
    <row r="10" spans="1:6">
      <c r="D10" s="15"/>
      <c r="E10" s="15"/>
      <c r="F10" s="15"/>
    </row>
  </sheetData>
  <mergeCells count="4">
    <mergeCell ref="A1:F1"/>
    <mergeCell ref="A2:F2"/>
    <mergeCell ref="D4:F4"/>
    <mergeCell ref="D5:F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Bola Deborah Egbeyeye</cp:lastModifiedBy>
  <dcterms:modified xsi:type="dcterms:W3CDTF">2026-09-19T16:53:36Z</dcterms:modified>
</cp:coreProperties>
</file>