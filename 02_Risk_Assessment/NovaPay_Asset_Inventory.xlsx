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3804661a8949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Register" sheetId="1" r:id="Rf8849f9f042f49fa"/>
    <x:sheet xmlns:r="http://schemas.openxmlformats.org/officeDocument/2006/relationships" name="Summary" sheetId="2" r:id="R6b73b2caa1224e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1"/>
      <x:color rgb="FF203864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horizontal="center" vertical="top" wrapText="1"/>
    </x:xf>
    <x:xf numFmtId="0" fontId="1" fillId="2" borderId="3" xfId="0" applyNumberFormat="1" applyFont="1" applyFill="1" applyBorder="1" applyAlignment="1">
      <x:alignment horizontal="center" vertical="top" wrapText="1"/>
    </x:xf>
    <x:xf numFmtId="0" fontId="1" fillId="2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1" fillId="2" borderId="11" xfId="0" applyNumberFormat="1" applyFont="1" applyFill="1" applyBorder="1" applyAlignment="1">
      <x:alignment horizontal="center" vertical="top" wrapText="1"/>
    </x:xf>
    <x:xf numFmtId="0" fontId="1" fillId="2" borderId="12" xfId="0" applyNumberFormat="1" applyFont="1" applyFill="1" applyBorder="1" applyAlignment="1">
      <x:alignment horizontal="center" vertical="top" wrapText="1"/>
    </x:xf>
    <x:xf numFmtId="0" fontId="1" fillId="2" borderId="13" xfId="0" applyNumberFormat="1" applyFont="1" applyFill="1" applyBorder="1" applyAlignment="1">
      <x:alignment horizontal="center"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168899c02b45ad" /><Relationship Type="http://schemas.openxmlformats.org/officeDocument/2006/relationships/theme" Target="/xl/theme/theme1.xml" Id="R315b9004cfcf4d3c" /><Relationship Type="http://schemas.openxmlformats.org/officeDocument/2006/relationships/sharedStrings" Target="/xl/sharedStrings.xml" Id="Rc4d340168fda4809" /><Relationship Type="http://schemas.openxmlformats.org/officeDocument/2006/relationships/worksheet" Target="/xl/worksheets/sheet1.xml" Id="Rf8849f9f042f49fa" /><Relationship Type="http://schemas.openxmlformats.org/officeDocument/2006/relationships/worksheet" Target="/xl/worksheets/sheet2.xml" Id="R6b73b2caa1224e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48" hidden="0" customWidth="1"/>
  </x:cols>
  <x:sheetData>
    <x:row r="1" ht="32" customHeight="1">
      <x:c r="A1" s="18" t="str">
        <x:v>Asset ID</x:v>
      </x:c>
      <x:c r="B1" s="19" t="str">
        <x:v>Asset</x:v>
      </x:c>
      <x:c r="C1" s="19" t="str">
        <x:v>Type</x:v>
      </x:c>
      <x:c r="D1" s="19" t="str">
        <x:v>Proposed Owner</x:v>
      </x:c>
      <x:c r="E1" s="19" t="str">
        <x:v>Classification</x:v>
      </x:c>
      <x:c r="F1" s="19" t="str">
        <x:v>Criticality</x:v>
      </x:c>
      <x:c r="G1" s="20" t="str">
        <x:v>Description</x:v>
      </x:c>
    </x:row>
    <x:row r="2">
      <x:c r="A2" s="21" t="str">
        <x:v>A01</x:v>
      </x:c>
      <x:c r="B2" s="22" t="str">
        <x:v>Customer Information</x:v>
      </x:c>
      <x:c r="C2" s="22" t="str">
        <x:v>Information</x:v>
      </x:c>
      <x:c r="D2" s="22" t="str">
        <x:v>Customer Operations</x:v>
      </x:c>
      <x:c r="E2" s="22" t="str">
        <x:v>Confidential</x:v>
      </x:c>
      <x:c r="F2" s="22" t="str">
        <x:v>Critical</x:v>
      </x:c>
      <x:c r="G2" s="23" t="str">
        <x:v>PII and customer account records supporting onboarding, servicing and payments.</x:v>
      </x:c>
    </x:row>
    <x:row r="3">
      <x:c r="A3" s="21" t="str">
        <x:v>A02</x:v>
      </x:c>
      <x:c r="B3" s="22" t="str">
        <x:v>Transaction Data</x:v>
      </x:c>
      <x:c r="C3" s="22" t="str">
        <x:v>Information</x:v>
      </x:c>
      <x:c r="D3" s="22" t="str">
        <x:v>Payment Operations</x:v>
      </x:c>
      <x:c r="E3" s="22" t="str">
        <x:v>Confidential</x:v>
      </x:c>
      <x:c r="F3" s="22" t="str">
        <x:v>Critical</x:v>
      </x:c>
      <x:c r="G3" s="23" t="str">
        <x:v>Payment instructions, transaction history, status and reconciliation data.</x:v>
      </x:c>
    </x:row>
    <x:row r="4">
      <x:c r="A4" s="21" t="str">
        <x:v>A03</x:v>
      </x:c>
      <x:c r="B4" s="22" t="str">
        <x:v>Payment Application</x:v>
      </x:c>
      <x:c r="C4" s="22" t="str">
        <x:v>Application</x:v>
      </x:c>
      <x:c r="D4" s="22" t="str">
        <x:v>IT / Product</x:v>
      </x:c>
      <x:c r="E4" s="22" t="str">
        <x:v>Restricted</x:v>
      </x:c>
      <x:c r="F4" s="22" t="str">
        <x:v>Critical</x:v>
      </x:c>
      <x:c r="G4" s="23" t="str">
        <x:v>Primary customer-facing digital payment service.</x:v>
      </x:c>
    </x:row>
    <x:row r="5">
      <x:c r="A5" s="21" t="str">
        <x:v>A04</x:v>
      </x:c>
      <x:c r="B5" s="22" t="str">
        <x:v>Application Source Code</x:v>
      </x:c>
      <x:c r="C5" s="22" t="str">
        <x:v>Information</x:v>
      </x:c>
      <x:c r="D5" s="22" t="str">
        <x:v>Software Development</x:v>
      </x:c>
      <x:c r="E5" s="22" t="str">
        <x:v>Restricted</x:v>
      </x:c>
      <x:c r="F5" s="22" t="str">
        <x:v>High</x:v>
      </x:c>
      <x:c r="G5" s="23" t="str">
        <x:v>Code base, configuration and deployment-related artifacts.</x:v>
      </x:c>
    </x:row>
    <x:row r="6">
      <x:c r="A6" s="21" t="str">
        <x:v>A05</x:v>
      </x:c>
      <x:c r="B6" s="22" t="str">
        <x:v>Cloud Infrastructure</x:v>
      </x:c>
      <x:c r="C6" s="22" t="str">
        <x:v>Technology</x:v>
      </x:c>
      <x:c r="D6" s="22" t="str">
        <x:v>IT / Cloud Operations</x:v>
      </x:c>
      <x:c r="E6" s="22" t="str">
        <x:v>Restricted</x:v>
      </x:c>
      <x:c r="F6" s="22" t="str">
        <x:v>Critical</x:v>
      </x:c>
      <x:c r="G6" s="23" t="str">
        <x:v>Cloud-hosted services and supporting technology used by payment workloads.</x:v>
      </x:c>
    </x:row>
    <x:row r="7">
      <x:c r="A7" s="21" t="str">
        <x:v>A06</x:v>
      </x:c>
      <x:c r="B7" s="22" t="str">
        <x:v>Customer Database</x:v>
      </x:c>
      <x:c r="C7" s="22" t="str">
        <x:v>Technology / Data Store</x:v>
      </x:c>
      <x:c r="D7" s="22" t="str">
        <x:v>IT / Operations</x:v>
      </x:c>
      <x:c r="E7" s="22" t="str">
        <x:v>Restricted</x:v>
      </x:c>
      <x:c r="F7" s="22" t="str">
        <x:v>Critical</x:v>
      </x:c>
      <x:c r="G7" s="23" t="str">
        <x:v>Data store containing customer and transaction-related records.</x:v>
      </x:c>
    </x:row>
    <x:row r="8">
      <x:c r="A8" s="21" t="str">
        <x:v>A07</x:v>
      </x:c>
      <x:c r="B8" s="22" t="str">
        <x:v>Employee Information</x:v>
      </x:c>
      <x:c r="C8" s="22" t="str">
        <x:v>Information</x:v>
      </x:c>
      <x:c r="D8" s="22" t="str">
        <x:v>Administration / HR</x:v>
      </x:c>
      <x:c r="E8" s="22" t="str">
        <x:v>Confidential</x:v>
      </x:c>
      <x:c r="F8" s="22" t="str">
        <x:v>High</x:v>
      </x:c>
      <x:c r="G8" s="23" t="str">
        <x:v>Employee personal and employment information.</x:v>
      </x:c>
    </x:row>
    <x:row r="9">
      <x:c r="A9" s="21" t="str">
        <x:v>A08</x:v>
      </x:c>
      <x:c r="B9" s="22" t="str">
        <x:v>Financial Records</x:v>
      </x:c>
      <x:c r="C9" s="22" t="str">
        <x:v>Information</x:v>
      </x:c>
      <x:c r="D9" s="22" t="str">
        <x:v>Finance / Management</x:v>
      </x:c>
      <x:c r="E9" s="22" t="str">
        <x:v>Confidential</x:v>
      </x:c>
      <x:c r="F9" s="22" t="str">
        <x:v>High</x:v>
      </x:c>
      <x:c r="G9" s="23" t="str">
        <x:v>Accounting, reconciliation and management reporting records.</x:v>
      </x:c>
    </x:row>
    <x:row r="10">
      <x:c r="A10" s="21" t="str">
        <x:v>A09</x:v>
      </x:c>
      <x:c r="B10" s="22" t="str">
        <x:v>Identity and Access Platform</x:v>
      </x:c>
      <x:c r="C10" s="22" t="str">
        <x:v>Technology</x:v>
      </x:c>
      <x:c r="D10" s="22" t="str">
        <x:v>IT / Security</x:v>
      </x:c>
      <x:c r="E10" s="22" t="str">
        <x:v>Restricted</x:v>
      </x:c>
      <x:c r="F10" s="22" t="str">
        <x:v>Critical</x:v>
      </x:c>
      <x:c r="G10" s="23" t="str">
        <x:v>Authentication and access lifecycle for in-scope services.</x:v>
      </x:c>
    </x:row>
    <x:row r="11">
      <x:c r="A11" s="21" t="str">
        <x:v>A10</x:v>
      </x:c>
      <x:c r="B11" s="22" t="str">
        <x:v>Security Logs and Audit Records</x:v>
      </x:c>
      <x:c r="C11" s="22" t="str">
        <x:v>Information</x:v>
      </x:c>
      <x:c r="D11" s="22" t="str">
        <x:v>IT / Security</x:v>
      </x:c>
      <x:c r="E11" s="22" t="str">
        <x:v>Confidential</x:v>
      </x:c>
      <x:c r="F11" s="22" t="str">
        <x:v>High</x:v>
      </x:c>
      <x:c r="G11" s="23" t="str">
        <x:v>Security monitoring, investigation and audit evidence.</x:v>
      </x:c>
    </x:row>
    <x:row r="12">
      <x:c r="A12" s="21" t="str">
        <x:v>A11</x:v>
      </x:c>
      <x:c r="B12" s="22" t="str">
        <x:v>Supplier and Contract Records</x:v>
      </x:c>
      <x:c r="C12" s="22" t="str">
        <x:v>Information</x:v>
      </x:c>
      <x:c r="D12" s="22" t="str">
        <x:v>Management / Procurement</x:v>
      </x:c>
      <x:c r="E12" s="22" t="str">
        <x:v>Confidential</x:v>
      </x:c>
      <x:c r="F12" s="22" t="str">
        <x:v>Medium</x:v>
      </x:c>
      <x:c r="G12" s="23" t="str">
        <x:v>Supplier security, contractual and service obligations.</x:v>
      </x:c>
    </x:row>
    <x:row r="13">
      <x:c r="A13" s="24" t="str">
        <x:v>A12</x:v>
      </x:c>
      <x:c r="B13" s="25" t="str">
        <x:v>Employee Endpoints</x:v>
      </x:c>
      <x:c r="C13" s="25" t="str">
        <x:v>Technology</x:v>
      </x:c>
      <x:c r="D13" s="25" t="str">
        <x:v>IT</x:v>
      </x:c>
      <x:c r="E13" s="25" t="str">
        <x:v>Internal</x:v>
      </x:c>
      <x:c r="F13" s="25" t="str">
        <x:v>High</x:v>
      </x:c>
      <x:c r="G13" s="26" t="str">
        <x:v>Laptops and workstations used to access NovaPay information and services.</x:v>
      </x:c>
    </x:row>
  </x:sheetData>
  <x:dataValidations count="2">
    <x:dataValidation type="list" sqref="E2:E100">
      <x:formula1>"Public,Internal,Confidential,Restricted"</x:formula1>
    </x:dataValidation>
    <x:dataValidation type="list" sqref="F2:F100">
      <x:formula1>"Low,Medium,High,Critical"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8" customHeight="1">
      <x:c r="A1" s="38" t="str">
        <x:v>NovaPay Solutions Ltd. - Asset Inventory</x:v>
      </x:c>
    </x:row>
    <x:row r="2" ht="30" customHeight="1">
      <x:c r="A2" s="44" t="str">
        <x:v>Portfolio case study | ISO/IEC 27001-aligned ISMS implementation</x:v>
      </x:c>
    </x:row>
    <x:row r="4" ht="32" customHeight="1">
      <x:c r="A4" s="18" t="str">
        <x:v>Metric</x:v>
      </x:c>
      <x:c r="B4" s="20" t="str">
        <x:v>Value</x:v>
      </x:c>
      <x:c r="D4" s="6" t="str">
        <x:v>Portfolio Note</x:v>
      </x:c>
      <x:c r="E4" s="6"/>
      <x:c r="F4" s="6"/>
    </x:row>
    <x:row r="5">
      <x:c r="A5" s="21" t="str">
        <x:v>Total assets</x:v>
      </x:c>
      <x:c r="B5" s="23" t="n">
        <x:f>COUNTA('Asset Register'!A2:A100)</x:f>
        <x:v>12</x:v>
      </x:c>
      <x:c r="D5" s="15" t="str">
        <x:v>Starter inventory based on the case study.
Proposed owners are role-based placeholders and should be validated in a real organisation.
The inventory supports risk identification, classification and control ownership.</x:v>
      </x:c>
    </x:row>
    <x:row r="6">
      <x:c r="A6" s="21" t="str">
        <x:v>Critical assets</x:v>
      </x:c>
      <x:c r="B6" s="23" t="n">
        <x:f>COUNTIF('Asset Register'!F2:F100,"Critical")</x:f>
        <x:v>6</x:v>
      </x:c>
    </x:row>
    <x:row r="7">
      <x:c r="A7" s="21" t="str">
        <x:v>High criticality assets</x:v>
      </x:c>
      <x:c r="B7" s="23" t="n">
        <x:f>COUNTIF('Asset Register'!F2:F100,"High")</x:f>
        <x:v>5</x:v>
      </x:c>
    </x:row>
    <x:row r="8">
      <x:c r="A8" s="24" t="str">
        <x:v>Restricted assets</x:v>
      </x:c>
      <x:c r="B8" s="26" t="n">
        <x:f>COUNTIF('Asset Register'!E2:E100,"Restricted")</x:f>
        <x:v>5</x:v>
      </x:c>
    </x:row>
  </x:sheetData>
  <x:mergeCells>
    <x:mergeCell ref="A1:F1"/>
    <x:mergeCell ref="A2:F2"/>
    <x:mergeCell ref="D4:F4"/>
    <x:mergeCell ref="D5:F10"/>
  </x:mergeCells>
  <x:pageMargins left="0.7" right="0.7" top="0.75" bottom="0.75" header="0.3" footer="0.3"/>
</x:worksheet>
</file>