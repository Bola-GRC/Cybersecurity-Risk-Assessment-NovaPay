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5f80137e3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Tracker" sheetId="1" r:id="R90d43254835e47d3"/>
    <x:sheet xmlns:r="http://schemas.openxmlformats.org/officeDocument/2006/relationships" name="Summary" sheetId="2" r:id="Rbb5320a9c72e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0386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5f283ee834a91" /><Relationship Type="http://schemas.openxmlformats.org/officeDocument/2006/relationships/theme" Target="/xl/theme/theme1.xml" Id="R04e4d30eeaf64e81" /><Relationship Type="http://schemas.openxmlformats.org/officeDocument/2006/relationships/sharedStrings" Target="/xl/sharedStrings.xml" Id="R4b69c8672c3c4c71" /><Relationship Type="http://schemas.openxmlformats.org/officeDocument/2006/relationships/worksheet" Target="/xl/worksheets/sheet1.xml" Id="R90d43254835e47d3" /><Relationship Type="http://schemas.openxmlformats.org/officeDocument/2006/relationships/worksheet" Target="/xl/worksheets/sheet2.xml" Id="Rbb5320a9c72e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26" hidden="0" customWidth="1"/>
    <x:col min="5" max="5" width="18" hidden="0" customWidth="1"/>
    <x:col min="6" max="6" width="52" hidden="0" customWidth="1"/>
    <x:col min="7" max="7" width="14" hidden="0" customWidth="1"/>
    <x:col min="8" max="8" width="14" hidden="0" customWidth="1"/>
  </x:cols>
  <x:sheetData>
    <x:row r="1" ht="32" customHeight="1">
      <x:c r="A1" s="18" t="str">
        <x:v>Evidence ID</x:v>
      </x:c>
      <x:c r="B1" s="19" t="str">
        <x:v>Control / Requirement</x:v>
      </x:c>
      <x:c r="C1" s="19" t="str">
        <x:v>Evidence Requested</x:v>
      </x:c>
      <x:c r="D1" s="19" t="str">
        <x:v>Proposed Owner</x:v>
      </x:c>
      <x:c r="E1" s="19" t="str">
        <x:v>Status</x:v>
      </x:c>
      <x:c r="F1" s="19" t="str">
        <x:v>Review Note</x:v>
      </x:c>
      <x:c r="G1" s="19" t="str">
        <x:v>Priority</x:v>
      </x:c>
      <x:c r="H1" s="20" t="str">
        <x:v>Target</x:v>
      </x:c>
    </x:row>
    <x:row r="2">
      <x:c r="A2" s="21" t="str">
        <x:v>E001</x:v>
      </x:c>
      <x:c r="B2" s="22" t="str">
        <x:v>ISMS Scope</x:v>
      </x:c>
      <x:c r="C2" s="22" t="str">
        <x:v>Approved ISMS scope statement</x:v>
      </x:c>
      <x:c r="D2" s="22" t="str">
        <x:v>GRC / Management</x:v>
      </x:c>
      <x:c r="E2" s="22" t="str">
        <x:v>Not Received</x:v>
      </x:c>
      <x:c r="F2" s="22" t="str">
        <x:v>Required to demonstrate Clause 4.3 scope definition.</x:v>
      </x:c>
      <x:c r="G2" s="22" t="str">
        <x:v>High</x:v>
      </x:c>
      <x:c r="H2" s="23" t="str">
        <x:v>Month 1</x:v>
      </x:c>
    </x:row>
    <x:row r="3">
      <x:c r="A3" s="21" t="str">
        <x:v>E002</x:v>
      </x:c>
      <x:c r="B3" s="22" t="str">
        <x:v>Information Security Policy</x:v>
      </x:c>
      <x:c r="C3" s="22" t="str">
        <x:v>Approved policy and review record</x:v>
      </x:c>
      <x:c r="D3" s="22" t="str">
        <x:v>GRC / Management</x:v>
      </x:c>
      <x:c r="E3" s="22" t="str">
        <x:v>Partial</x:v>
      </x:c>
      <x:c r="F3" s="22" t="str">
        <x:v>Policies exist but are incomplete.</x:v>
      </x:c>
      <x:c r="G3" s="22" t="str">
        <x:v>High</x:v>
      </x:c>
      <x:c r="H3" s="23" t="str">
        <x:v>Month 2</x:v>
      </x:c>
    </x:row>
    <x:row r="4">
      <x:c r="A4" s="21" t="str">
        <x:v>E003</x:v>
      </x:c>
      <x:c r="B4" s="22" t="str">
        <x:v>Asset Management</x:v>
      </x:c>
      <x:c r="C4" s="22" t="str">
        <x:v>Current asset inventory with owners</x:v>
      </x:c>
      <x:c r="D4" s="22" t="str">
        <x:v>IT / GRC</x:v>
      </x:c>
      <x:c r="E4" s="22" t="str">
        <x:v>Not Received</x:v>
      </x:c>
      <x:c r="F4" s="22" t="str">
        <x:v>Case explicitly states no formal asset inventory.</x:v>
      </x:c>
      <x:c r="G4" s="22" t="str">
        <x:v>High</x:v>
      </x:c>
      <x:c r="H4" s="23" t="str">
        <x:v>Month 2</x:v>
      </x:c>
    </x:row>
    <x:row r="5">
      <x:c r="A5" s="21" t="str">
        <x:v>E004</x:v>
      </x:c>
      <x:c r="B5" s="22" t="str">
        <x:v>Classification</x:v>
      </x:c>
      <x:c r="C5" s="22" t="str">
        <x:v>Information classification standard and examples</x:v>
      </x:c>
      <x:c r="D5" s="22" t="str">
        <x:v>GRC / IT</x:v>
      </x:c>
      <x:c r="E5" s="22" t="str">
        <x:v>Not Received</x:v>
      </x:c>
      <x:c r="F5" s="22" t="str">
        <x:v>Needed to support consistent handling requirements.</x:v>
      </x:c>
      <x:c r="G5" s="22" t="str">
        <x:v>Medium</x:v>
      </x:c>
      <x:c r="H5" s="23" t="str">
        <x:v>Month 2</x:v>
      </x:c>
    </x:row>
    <x:row r="6">
      <x:c r="A6" s="21" t="str">
        <x:v>E005</x:v>
      </x:c>
      <x:c r="B6" s="22" t="str">
        <x:v>Risk Management</x:v>
      </x:c>
      <x:c r="C6" s="22" t="str">
        <x:v>Approved risk methodology and criteria</x:v>
      </x:c>
      <x:c r="D6" s="22" t="str">
        <x:v>GRC / Management</x:v>
      </x:c>
      <x:c r="E6" s="22" t="str">
        <x:v>Not Received</x:v>
      </x:c>
      <x:c r="F6" s="22" t="str">
        <x:v>Required to make assessments repeatable.</x:v>
      </x:c>
      <x:c r="G6" s="22" t="str">
        <x:v>High</x:v>
      </x:c>
      <x:c r="H6" s="23" t="str">
        <x:v>Month 2</x:v>
      </x:c>
    </x:row>
    <x:row r="7">
      <x:c r="A7" s="21" t="str">
        <x:v>E006</x:v>
      </x:c>
      <x:c r="B7" s="22" t="str">
        <x:v>Risk Management</x:v>
      </x:c>
      <x:c r="C7" s="22" t="str">
        <x:v>Approved risk register</x:v>
      </x:c>
      <x:c r="D7" s="22" t="str">
        <x:v>GRC / Management</x:v>
      </x:c>
      <x:c r="E7" s="22" t="str">
        <x:v>Not Received</x:v>
      </x:c>
      <x:c r="F7" s="22" t="str">
        <x:v>Tracks risks, owners, treatment and status.</x:v>
      </x:c>
      <x:c r="G7" s="22" t="str">
        <x:v>High</x:v>
      </x:c>
      <x:c r="H7" s="23" t="str">
        <x:v>Month 2</x:v>
      </x:c>
    </x:row>
    <x:row r="8">
      <x:c r="A8" s="21" t="str">
        <x:v>E007</x:v>
      </x:c>
      <x:c r="B8" s="22" t="str">
        <x:v>Risk Treatment</x:v>
      </x:c>
      <x:c r="C8" s="22" t="str">
        <x:v>Approved risk treatment plan</x:v>
      </x:c>
      <x:c r="D8" s="22" t="str">
        <x:v>GRC / Control Owners</x:v>
      </x:c>
      <x:c r="E8" s="22" t="str">
        <x:v>Not Received</x:v>
      </x:c>
      <x:c r="F8" s="22" t="str">
        <x:v>Demonstrates treatment decisions and accountable owners.</x:v>
      </x:c>
      <x:c r="G8" s="22" t="str">
        <x:v>High</x:v>
      </x:c>
      <x:c r="H8" s="23" t="str">
        <x:v>Month 3</x:v>
      </x:c>
    </x:row>
    <x:row r="9">
      <x:c r="A9" s="21" t="str">
        <x:v>E008</x:v>
      </x:c>
      <x:c r="B9" s="22" t="str">
        <x:v>SoA</x:v>
      </x:c>
      <x:c r="C9" s="22" t="str">
        <x:v>Approved Statement of Applicability</x:v>
      </x:c>
      <x:c r="D9" s="22" t="str">
        <x:v>GRC / Management</x:v>
      </x:c>
      <x:c r="E9" s="22" t="str">
        <x:v>Not Received</x:v>
      </x:c>
      <x:c r="F9" s="22" t="str">
        <x:v>Required for formal control selection rationale.</x:v>
      </x:c>
      <x:c r="G9" s="22" t="str">
        <x:v>High</x:v>
      </x:c>
      <x:c r="H9" s="23" t="str">
        <x:v>Month 3</x:v>
      </x:c>
    </x:row>
    <x:row r="10">
      <x:c r="A10" s="21" t="str">
        <x:v>E009</x:v>
      </x:c>
      <x:c r="B10" s="22" t="str">
        <x:v>Awareness</x:v>
      </x:c>
      <x:c r="C10" s="22" t="str">
        <x:v>Training content and completion report</x:v>
      </x:c>
      <x:c r="D10" s="22" t="str">
        <x:v>HR / GRC</x:v>
      </x:c>
      <x:c r="E10" s="22" t="str">
        <x:v>Partial</x:v>
      </x:c>
      <x:c r="F10" s="22" t="str">
        <x:v>Training occurs irregularly; recurring evidence is needed.</x:v>
      </x:c>
      <x:c r="G10" s="22" t="str">
        <x:v>High</x:v>
      </x:c>
      <x:c r="H10" s="23" t="str">
        <x:v>Month 3</x:v>
      </x:c>
    </x:row>
    <x:row r="11">
      <x:c r="A11" s="21" t="str">
        <x:v>E010</x:v>
      </x:c>
      <x:c r="B11" s="22" t="str">
        <x:v>Supplier Security</x:v>
      </x:c>
      <x:c r="C11" s="22" t="str">
        <x:v>Supplier due diligence questionnaire / assessment</x:v>
      </x:c>
      <x:c r="D11" s="22" t="str">
        <x:v>Procurement / GRC</x:v>
      </x:c>
      <x:c r="E11" s="22" t="str">
        <x:v>Partial</x:v>
      </x:c>
      <x:c r="F11" s="22" t="str">
        <x:v>Checks exist but are inconsistent.</x:v>
      </x:c>
      <x:c r="G11" s="22" t="str">
        <x:v>High</x:v>
      </x:c>
      <x:c r="H11" s="23" t="str">
        <x:v>Month 3</x:v>
      </x:c>
    </x:row>
    <x:row r="12">
      <x:c r="A12" s="21" t="str">
        <x:v>E011</x:v>
      </x:c>
      <x:c r="B12" s="22" t="str">
        <x:v>Supplier Security</x:v>
      </x:c>
      <x:c r="C12" s="22" t="str">
        <x:v>Security clauses in critical supplier contracts</x:v>
      </x:c>
      <x:c r="D12" s="22" t="str">
        <x:v>Procurement / Legal</x:v>
      </x:c>
      <x:c r="E12" s="22" t="str">
        <x:v>Not Received</x:v>
      </x:c>
      <x:c r="F12" s="22" t="str">
        <x:v>Needed to evidence contractual security obligations.</x:v>
      </x:c>
      <x:c r="G12" s="22" t="str">
        <x:v>Medium</x:v>
      </x:c>
      <x:c r="H12" s="23" t="str">
        <x:v>Month 4</x:v>
      </x:c>
    </x:row>
    <x:row r="13">
      <x:c r="A13" s="21" t="str">
        <x:v>E012</x:v>
      </x:c>
      <x:c r="B13" s="22" t="str">
        <x:v>Access Control</x:v>
      </x:c>
      <x:c r="C13" s="22" t="str">
        <x:v>User access listing for critical systems</x:v>
      </x:c>
      <x:c r="D13" s="22" t="str">
        <x:v>IT / Security</x:v>
      </x:c>
      <x:c r="E13" s="22" t="str">
        <x:v>Not Received</x:v>
      </x:c>
      <x:c r="F13" s="22" t="str">
        <x:v>Needed for access review and least-privilege assessment.</x:v>
      </x:c>
      <x:c r="G13" s="22" t="str">
        <x:v>High</x:v>
      </x:c>
      <x:c r="H13" s="23" t="str">
        <x:v>Month 3</x:v>
      </x:c>
    </x:row>
    <x:row r="14">
      <x:c r="A14" s="21" t="str">
        <x:v>E013</x:v>
      </x:c>
      <x:c r="B14" s="22" t="str">
        <x:v>Access Control</x:v>
      </x:c>
      <x:c r="C14" s="22" t="str">
        <x:v>Quarterly access-review evidence</x:v>
      </x:c>
      <x:c r="D14" s="22" t="str">
        <x:v>IT / Business Owners</x:v>
      </x:c>
      <x:c r="E14" s="22" t="str">
        <x:v>Not Received</x:v>
      </x:c>
      <x:c r="F14" s="22" t="str">
        <x:v>Needed to validate access-control effectiveness.</x:v>
      </x:c>
      <x:c r="G14" s="22" t="str">
        <x:v>High</x:v>
      </x:c>
      <x:c r="H14" s="23" t="str">
        <x:v>Month 4</x:v>
      </x:c>
    </x:row>
    <x:row r="15">
      <x:c r="A15" s="21" t="str">
        <x:v>E014</x:v>
      </x:c>
      <x:c r="B15" s="22" t="str">
        <x:v>Incident Management</x:v>
      </x:c>
      <x:c r="C15" s="22" t="str">
        <x:v>Incident response plan</x:v>
      </x:c>
      <x:c r="D15" s="22" t="str">
        <x:v>Security / GRC</x:v>
      </x:c>
      <x:c r="E15" s="22" t="str">
        <x:v>Not Received</x:v>
      </x:c>
      <x:c r="F15" s="22" t="str">
        <x:v>Supports defined incident response.</x:v>
      </x:c>
      <x:c r="G15" s="22" t="str">
        <x:v>High</x:v>
      </x:c>
      <x:c r="H15" s="23" t="str">
        <x:v>Month 3</x:v>
      </x:c>
    </x:row>
    <x:row r="16">
      <x:c r="A16" s="21" t="str">
        <x:v>E015</x:v>
      </x:c>
      <x:c r="B16" s="22" t="str">
        <x:v>Incident Management</x:v>
      </x:c>
      <x:c r="C16" s="22" t="str">
        <x:v>Tabletop exercise report and action log</x:v>
      </x:c>
      <x:c r="D16" s="22" t="str">
        <x:v>Security / Management</x:v>
      </x:c>
      <x:c r="E16" s="22" t="str">
        <x:v>Not Received</x:v>
      </x:c>
      <x:c r="F16" s="22" t="str">
        <x:v>Tests readiness and tracks improvement actions.</x:v>
      </x:c>
      <x:c r="G16" s="22" t="str">
        <x:v>High</x:v>
      </x:c>
      <x:c r="H16" s="23" t="str">
        <x:v>Month 5</x:v>
      </x:c>
    </x:row>
    <x:row r="17">
      <x:c r="A17" s="21" t="str">
        <x:v>E016</x:v>
      </x:c>
      <x:c r="B17" s="22" t="str">
        <x:v>Vulnerability Management</x:v>
      </x:c>
      <x:c r="C17" s="22" t="str">
        <x:v>Vulnerability scan results</x:v>
      </x:c>
      <x:c r="D17" s="22" t="str">
        <x:v>IT / Security</x:v>
      </x:c>
      <x:c r="E17" s="22" t="str">
        <x:v>Not Received</x:v>
      </x:c>
      <x:c r="F17" s="22" t="str">
        <x:v>Supports identification of technical vulnerabilities.</x:v>
      </x:c>
      <x:c r="G17" s="22" t="str">
        <x:v>High</x:v>
      </x:c>
      <x:c r="H17" s="23" t="str">
        <x:v>Month 4</x:v>
      </x:c>
    </x:row>
    <x:row r="18">
      <x:c r="A18" s="21" t="str">
        <x:v>E017</x:v>
      </x:c>
      <x:c r="B18" s="22" t="str">
        <x:v>Vulnerability Management</x:v>
      </x:c>
      <x:c r="C18" s="22" t="str">
        <x:v>Remediation SLA and exception register</x:v>
      </x:c>
      <x:c r="D18" s="22" t="str">
        <x:v>IT / Security</x:v>
      </x:c>
      <x:c r="E18" s="22" t="str">
        <x:v>Not Received</x:v>
      </x:c>
      <x:c r="F18" s="22" t="str">
        <x:v>Supports timely remediation and risk acceptance.</x:v>
      </x:c>
      <x:c r="G18" s="22" t="str">
        <x:v>High</x:v>
      </x:c>
      <x:c r="H18" s="23" t="str">
        <x:v>Month 4</x:v>
      </x:c>
    </x:row>
    <x:row r="19">
      <x:c r="A19" s="21" t="str">
        <x:v>E018</x:v>
      </x:c>
      <x:c r="B19" s="22" t="str">
        <x:v>Logging and Monitoring</x:v>
      </x:c>
      <x:c r="C19" s="22" t="str">
        <x:v>Logging standard / monitored event list</x:v>
      </x:c>
      <x:c r="D19" s="22" t="str">
        <x:v>Security / IT</x:v>
      </x:c>
      <x:c r="E19" s="22" t="str">
        <x:v>Not Received</x:v>
      </x:c>
      <x:c r="F19" s="22" t="str">
        <x:v>Defines required security-relevant logging.</x:v>
      </x:c>
      <x:c r="G19" s="22" t="str">
        <x:v>High</x:v>
      </x:c>
      <x:c r="H19" s="23" t="str">
        <x:v>Month 4</x:v>
      </x:c>
    </x:row>
    <x:row r="20">
      <x:c r="A20" s="21" t="str">
        <x:v>E019</x:v>
      </x:c>
      <x:c r="B20" s="22" t="str">
        <x:v>Logging and Monitoring</x:v>
      </x:c>
      <x:c r="C20" s="22" t="str">
        <x:v>Sample alerts and monitoring review evidence</x:v>
      </x:c>
      <x:c r="D20" s="22" t="str">
        <x:v>Security / IT</x:v>
      </x:c>
      <x:c r="E20" s="22" t="str">
        <x:v>Not Received</x:v>
      </x:c>
      <x:c r="F20" s="22" t="str">
        <x:v>Demonstrates monitoring operates in practice.</x:v>
      </x:c>
      <x:c r="G20" s="22" t="str">
        <x:v>High</x:v>
      </x:c>
      <x:c r="H20" s="23" t="str">
        <x:v>Month 4</x:v>
      </x:c>
    </x:row>
    <x:row r="21">
      <x:c r="A21" s="21" t="str">
        <x:v>E020</x:v>
      </x:c>
      <x:c r="B21" s="22" t="str">
        <x:v>Secure Development</x:v>
      </x:c>
      <x:c r="C21" s="22" t="str">
        <x:v>Secure SDLC standard</x:v>
      </x:c>
      <x:c r="D21" s="22" t="str">
        <x:v>Engineering / Security</x:v>
      </x:c>
      <x:c r="E21" s="22" t="str">
        <x:v>Not Received</x:v>
      </x:c>
      <x:c r="F21" s="22" t="str">
        <x:v>Defines security requirements across development lifecycle.</x:v>
      </x:c>
      <x:c r="G21" s="22" t="str">
        <x:v>High</x:v>
      </x:c>
      <x:c r="H21" s="23" t="str">
        <x:v>Month 4</x:v>
      </x:c>
    </x:row>
    <x:row r="22">
      <x:c r="A22" s="21" t="str">
        <x:v>E021</x:v>
      </x:c>
      <x:c r="B22" s="22" t="str">
        <x:v>Secure Development</x:v>
      </x:c>
      <x:c r="C22" s="22" t="str">
        <x:v>Security testing / code review evidence</x:v>
      </x:c>
      <x:c r="D22" s="22" t="str">
        <x:v>Engineering / Security</x:v>
      </x:c>
      <x:c r="E22" s="22" t="str">
        <x:v>Not Received</x:v>
      </x:c>
      <x:c r="F22" s="22" t="str">
        <x:v>Demonstrates application-security checks.</x:v>
      </x:c>
      <x:c r="G22" s="22" t="str">
        <x:v>High</x:v>
      </x:c>
      <x:c r="H22" s="23" t="str">
        <x:v>Month 4</x:v>
      </x:c>
    </x:row>
    <x:row r="23">
      <x:c r="A23" s="21" t="str">
        <x:v>E022</x:v>
      </x:c>
      <x:c r="B23" s="22" t="str">
        <x:v>Business Continuity</x:v>
      </x:c>
      <x:c r="C23" s="22" t="str">
        <x:v>Business impact analysis and recovery objectives</x:v>
      </x:c>
      <x:c r="D23" s="22" t="str">
        <x:v>Operations / IT</x:v>
      </x:c>
      <x:c r="E23" s="22" t="str">
        <x:v>Not Received</x:v>
      </x:c>
      <x:c r="F23" s="22" t="str">
        <x:v>Required for prioritized recovery planning.</x:v>
      </x:c>
      <x:c r="G23" s="22" t="str">
        <x:v>High</x:v>
      </x:c>
      <x:c r="H23" s="23" t="str">
        <x:v>Month 4</x:v>
      </x:c>
    </x:row>
    <x:row r="24">
      <x:c r="A24" s="21" t="str">
        <x:v>E023</x:v>
      </x:c>
      <x:c r="B24" s="22" t="str">
        <x:v>Business Continuity</x:v>
      </x:c>
      <x:c r="C24" s="22" t="str">
        <x:v>Backup restore / recovery test report</x:v>
      </x:c>
      <x:c r="D24" s="22" t="str">
        <x:v>Operations / IT</x:v>
      </x:c>
      <x:c r="E24" s="22" t="str">
        <x:v>Not Received</x:v>
      </x:c>
      <x:c r="F24" s="22" t="str">
        <x:v>Demonstrates recovery capability.</x:v>
      </x:c>
      <x:c r="G24" s="22" t="str">
        <x:v>High</x:v>
      </x:c>
      <x:c r="H24" s="23" t="str">
        <x:v>Month 5</x:v>
      </x:c>
    </x:row>
    <x:row r="25">
      <x:c r="A25" s="21" t="str">
        <x:v>E024</x:v>
      </x:c>
      <x:c r="B25" s="22" t="str">
        <x:v>Internal Audit</x:v>
      </x:c>
      <x:c r="C25" s="22" t="str">
        <x:v>Internal audit plan and report</x:v>
      </x:c>
      <x:c r="D25" s="22" t="str">
        <x:v>Internal Audit</x:v>
      </x:c>
      <x:c r="E25" s="22" t="str">
        <x:v>Not Received</x:v>
      </x:c>
      <x:c r="F25" s="22" t="str">
        <x:v>Required for certification-readiness check.</x:v>
      </x:c>
      <x:c r="G25" s="22" t="str">
        <x:v>High</x:v>
      </x:c>
      <x:c r="H25" s="23" t="str">
        <x:v>Month 5</x:v>
      </x:c>
    </x:row>
    <x:row r="26">
      <x:c r="A26" s="24" t="str">
        <x:v>E025</x:v>
      </x:c>
      <x:c r="B26" s="25" t="str">
        <x:v>Management Review</x:v>
      </x:c>
      <x:c r="C26" s="25" t="str">
        <x:v>Management review minutes and decisions</x:v>
      </x:c>
      <x:c r="D26" s="25" t="str">
        <x:v>Senior Management</x:v>
      </x:c>
      <x:c r="E26" s="25" t="str">
        <x:v>Not Received</x:v>
      </x:c>
      <x:c r="F26" s="25" t="str">
        <x:v>Demonstrates leadership review of ISMS performance.</x:v>
      </x:c>
      <x:c r="G26" s="25" t="str">
        <x:v>High</x:v>
      </x:c>
      <x:c r="H26" s="26" t="str">
        <x:v>Month 6</x:v>
      </x:c>
    </x:row>
    <x:row r="27">
      <x:c r="A27" s="12" t="str">
        <x:v>E026</x:v>
      </x:c>
      <x:c r="B27" s="12" t="str">
        <x:v>Legal / Regulatory Compliance</x:v>
      </x:c>
      <x:c r="C27" s="12" t="str">
        <x:v>Irish/EU legal and regulatory obligations register, including GDPR applicability assessment where relevant</x:v>
      </x:c>
      <x:c r="D27" s="12" t="str">
        <x:v>GRC / Legal</x:v>
      </x:c>
      <x:c r="E27" s="12" t="str">
        <x:v>Not Received</x:v>
      </x:c>
      <x:c r="F27" s="12" t="str">
        <x:v>Needed to demonstrate that applicable obligations have been identified and mapped to ISMS controls.</x:v>
      </x:c>
      <x:c r="G27" s="12" t="str">
        <x:v>High</x:v>
      </x:c>
      <x:c r="H27" s="12" t="str">
        <x:v>Month 3</x:v>
      </x:c>
    </x:row>
  </x:sheetData>
  <x:dataValidations count="2">
    <x:dataValidation type="list" sqref="E2:E100">
      <x:formula1>"Received,Partial,Not Received,Not Applicable"</x:formula1>
    </x:dataValidation>
    <x:dataValidation type="list" sqref="G2:G100">
      <x:formula1>"Low,Moderate,High,Critical"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38" t="str">
        <x:v>NovaPay Solutions Ltd. - ISMS Evidence Tracker</x:v>
      </x:c>
    </x:row>
    <x:row r="2" ht="30" customHeight="1">
      <x:c r="A2" s="44" t="str">
        <x:v>Evidence requests used to support control assessment and certification readiness</x:v>
      </x:c>
    </x:row>
    <x:row r="4" ht="32" customHeight="1">
      <x:c r="A4" s="18" t="str">
        <x:v>Metric</x:v>
      </x:c>
      <x:c r="B4" s="20" t="str">
        <x:v>Value</x:v>
      </x:c>
      <x:c r="D4" s="6" t="str">
        <x:v>Portfolio Note</x:v>
      </x:c>
      <x:c r="E4" s="6"/>
      <x:c r="F4" s="6"/>
    </x:row>
    <x:row r="5">
      <x:c r="A5" s="21" t="str">
        <x:v>Total evidence items</x:v>
      </x:c>
      <x:c r="B5" s="23" t="n">
        <x:f>COUNTA('Evidence Tracker'!A2:A100)</x:f>
        <x:v>26</x:v>
      </x:c>
      <x:c r="D5" s="15" t="str">
        <x:v>The tracker distinguishes a missing artifact from a failed control.
Evidence should be reviewed for relevance, completeness, timeliness and operating effectiveness.
Owners and dates are proposed placeholders for this fictional case.</x:v>
      </x:c>
    </x:row>
    <x:row r="6">
      <x:c r="A6" s="21" t="str">
        <x:v>Received</x:v>
      </x:c>
      <x:c r="B6" s="23" t="n">
        <x:f>COUNTIF('Evidence Tracker'!E2:E100,"Received")</x:f>
        <x:v>0</x:v>
      </x:c>
    </x:row>
    <x:row r="7">
      <x:c r="A7" s="21" t="str">
        <x:v>Partial</x:v>
      </x:c>
      <x:c r="B7" s="23" t="n">
        <x:f>COUNTIF('Evidence Tracker'!E2:E100,"Partial")</x:f>
        <x:v>3</x:v>
      </x:c>
    </x:row>
    <x:row r="8">
      <x:c r="A8" s="24" t="str">
        <x:v>Not received</x:v>
      </x:c>
      <x:c r="B8" s="26" t="n">
        <x:f>COUNTIF('Evidence Tracker'!E2:E100,"Not Received")</x:f>
        <x:v>23</x:v>
      </x:c>
    </x:row>
  </x:sheetData>
  <x:mergeCells>
    <x:mergeCell ref="A1:F1"/>
    <x:mergeCell ref="A2:F2"/>
    <x:mergeCell ref="D4:F4"/>
    <x:mergeCell ref="D5:F10"/>
  </x:mergeCells>
  <x:pageMargins left="0.7" right="0.7" top="0.75" bottom="0.75" header="0.3" footer="0.3"/>
</x:worksheet>
</file>